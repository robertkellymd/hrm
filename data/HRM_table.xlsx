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Keep\Research\HRM\paper\"/>
    </mc:Choice>
  </mc:AlternateContent>
  <xr:revisionPtr revIDLastSave="0" documentId="13_ncr:1_{D41CE8FE-BF5B-4B77-A5CB-95A31AA863C7}" xr6:coauthVersionLast="47" xr6:coauthVersionMax="47" xr10:uidLastSave="{00000000-0000-0000-0000-000000000000}"/>
  <bookViews>
    <workbookView xWindow="-108" yWindow="-108" windowWidth="23232" windowHeight="12432" tabRatio="769" xr2:uid="{00000000-000D-0000-FFFF-FFFF00000000}"/>
  </bookViews>
  <sheets>
    <sheet name="Overview" sheetId="37" r:id="rId1"/>
    <sheet name="Vc vs N" sheetId="3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36" l="1"/>
  <c r="E10" i="36"/>
  <c r="D10" i="36"/>
  <c r="F17" i="36"/>
  <c r="E17" i="36"/>
  <c r="C17" i="36"/>
  <c r="D17" i="36" s="1"/>
  <c r="F24" i="36"/>
  <c r="E24" i="36"/>
  <c r="C24" i="36"/>
  <c r="D24" i="36" s="1"/>
  <c r="F9" i="36"/>
  <c r="E9" i="36"/>
  <c r="D9" i="36"/>
  <c r="F16" i="36"/>
  <c r="E16" i="36"/>
  <c r="C16" i="36"/>
  <c r="D16" i="36" s="1"/>
  <c r="F23" i="36"/>
  <c r="E23" i="36"/>
  <c r="C23" i="36"/>
  <c r="D23" i="36" s="1"/>
  <c r="F8" i="36"/>
  <c r="E8" i="36"/>
  <c r="D8" i="36"/>
  <c r="F15" i="36"/>
  <c r="E15" i="36"/>
  <c r="C15" i="36"/>
  <c r="D15" i="36" s="1"/>
  <c r="F22" i="36"/>
  <c r="E22" i="36"/>
  <c r="C22" i="36"/>
  <c r="D22" i="36" s="1"/>
  <c r="F7" i="36"/>
  <c r="E7" i="36"/>
  <c r="D7" i="36"/>
  <c r="F14" i="36"/>
  <c r="E14" i="36"/>
  <c r="C14" i="36"/>
  <c r="D14" i="36" s="1"/>
  <c r="F21" i="36"/>
  <c r="E21" i="36"/>
  <c r="C21" i="36"/>
  <c r="D21" i="36" s="1"/>
  <c r="F6" i="36"/>
  <c r="E6" i="36"/>
  <c r="D6" i="36"/>
  <c r="F13" i="36"/>
  <c r="E13" i="36"/>
  <c r="C13" i="36"/>
  <c r="D13" i="36" s="1"/>
  <c r="F20" i="36"/>
  <c r="E20" i="36"/>
  <c r="C20" i="36"/>
  <c r="D20" i="36" s="1"/>
  <c r="G9" i="36" l="1"/>
  <c r="H9" i="36" s="1"/>
  <c r="I9" i="36" s="1"/>
  <c r="J9" i="36" s="1"/>
  <c r="N9" i="36" s="1"/>
  <c r="O9" i="36" s="1"/>
  <c r="P9" i="36" s="1"/>
  <c r="G7" i="36"/>
  <c r="H7" i="36" s="1"/>
  <c r="I7" i="36" s="1"/>
  <c r="K7" i="36" s="1"/>
  <c r="L7" i="36" s="1"/>
  <c r="M7" i="36" s="1"/>
  <c r="G10" i="36"/>
  <c r="G6" i="36"/>
  <c r="G8" i="36"/>
  <c r="G16" i="36" l="1"/>
  <c r="K9" i="36"/>
  <c r="L9" i="36" s="1"/>
  <c r="M9" i="36" s="1"/>
  <c r="Q9" i="36" s="1"/>
  <c r="R9" i="36" s="1"/>
  <c r="G14" i="36"/>
  <c r="G21" i="36" s="1"/>
  <c r="H21" i="36" s="1"/>
  <c r="I21" i="36" s="1"/>
  <c r="H10" i="36"/>
  <c r="I10" i="36" s="1"/>
  <c r="G17" i="36"/>
  <c r="G24" i="36" s="1"/>
  <c r="H24" i="36" s="1"/>
  <c r="I24" i="36" s="1"/>
  <c r="J7" i="36"/>
  <c r="N7" i="36" s="1"/>
  <c r="O7" i="36" s="1"/>
  <c r="P7" i="36" s="1"/>
  <c r="Q7" i="36" s="1"/>
  <c r="R7" i="36" s="1"/>
  <c r="G23" i="36"/>
  <c r="H23" i="36" s="1"/>
  <c r="I23" i="36" s="1"/>
  <c r="H16" i="36"/>
  <c r="I16" i="36" s="1"/>
  <c r="H8" i="36"/>
  <c r="I8" i="36" s="1"/>
  <c r="J8" i="36" s="1"/>
  <c r="G15" i="36"/>
  <c r="H6" i="36"/>
  <c r="I6" i="36" s="1"/>
  <c r="G13" i="36"/>
  <c r="H14" i="36" l="1"/>
  <c r="I14" i="36" s="1"/>
  <c r="K8" i="36"/>
  <c r="L8" i="36" s="1"/>
  <c r="M8" i="36" s="1"/>
  <c r="K6" i="36"/>
  <c r="L6" i="36" s="1"/>
  <c r="M6" i="36" s="1"/>
  <c r="J6" i="36"/>
  <c r="N6" i="36" s="1"/>
  <c r="O6" i="36" s="1"/>
  <c r="P6" i="36" s="1"/>
  <c r="J23" i="36"/>
  <c r="K23" i="36"/>
  <c r="L23" i="36" s="1"/>
  <c r="M23" i="36" s="1"/>
  <c r="H15" i="36"/>
  <c r="I15" i="36" s="1"/>
  <c r="G22" i="36"/>
  <c r="H22" i="36" s="1"/>
  <c r="I22" i="36" s="1"/>
  <c r="K21" i="36"/>
  <c r="L21" i="36" s="1"/>
  <c r="M21" i="36" s="1"/>
  <c r="J21" i="36"/>
  <c r="J24" i="36"/>
  <c r="N24" i="36" s="1"/>
  <c r="O24" i="36" s="1"/>
  <c r="P24" i="36" s="1"/>
  <c r="K24" i="36"/>
  <c r="L24" i="36" s="1"/>
  <c r="M24" i="36" s="1"/>
  <c r="G20" i="36"/>
  <c r="H20" i="36" s="1"/>
  <c r="I20" i="36" s="1"/>
  <c r="H13" i="36"/>
  <c r="I13" i="36" s="1"/>
  <c r="K16" i="36"/>
  <c r="L16" i="36" s="1"/>
  <c r="M16" i="36" s="1"/>
  <c r="J16" i="36"/>
  <c r="J10" i="36"/>
  <c r="N10" i="36" s="1"/>
  <c r="O10" i="36" s="1"/>
  <c r="P10" i="36" s="1"/>
  <c r="K10" i="36"/>
  <c r="L10" i="36" s="1"/>
  <c r="M10" i="36" s="1"/>
  <c r="N8" i="36"/>
  <c r="O8" i="36" s="1"/>
  <c r="P8" i="36" s="1"/>
  <c r="Q8" i="36" l="1"/>
  <c r="R8" i="36" s="1"/>
  <c r="Q6" i="36"/>
  <c r="R6" i="36" s="1"/>
  <c r="J14" i="36"/>
  <c r="N14" i="36" s="1"/>
  <c r="O14" i="36" s="1"/>
  <c r="P14" i="36" s="1"/>
  <c r="K14" i="36"/>
  <c r="L14" i="36" s="1"/>
  <c r="M14" i="36" s="1"/>
  <c r="Q10" i="36"/>
  <c r="R10" i="36" s="1"/>
  <c r="J15" i="36"/>
  <c r="K15" i="36"/>
  <c r="L15" i="36" s="1"/>
  <c r="M15" i="36" s="1"/>
  <c r="J13" i="36"/>
  <c r="N13" i="36" s="1"/>
  <c r="O13" i="36" s="1"/>
  <c r="P13" i="36" s="1"/>
  <c r="K13" i="36"/>
  <c r="L13" i="36" s="1"/>
  <c r="M13" i="36" s="1"/>
  <c r="N21" i="36"/>
  <c r="O21" i="36" s="1"/>
  <c r="P21" i="36" s="1"/>
  <c r="Q21" i="36" s="1"/>
  <c r="R21" i="36" s="1"/>
  <c r="N23" i="36"/>
  <c r="O23" i="36" s="1"/>
  <c r="P23" i="36" s="1"/>
  <c r="Q23" i="36" s="1"/>
  <c r="R23" i="36" s="1"/>
  <c r="J20" i="36"/>
  <c r="K20" i="36"/>
  <c r="L20" i="36" s="1"/>
  <c r="M20" i="36" s="1"/>
  <c r="Q24" i="36"/>
  <c r="R24" i="36" s="1"/>
  <c r="N16" i="36"/>
  <c r="O16" i="36" s="1"/>
  <c r="P16" i="36" s="1"/>
  <c r="Q16" i="36" s="1"/>
  <c r="R16" i="36" s="1"/>
  <c r="J22" i="36"/>
  <c r="N22" i="36" s="1"/>
  <c r="O22" i="36" s="1"/>
  <c r="P22" i="36" s="1"/>
  <c r="K22" i="36"/>
  <c r="L22" i="36" s="1"/>
  <c r="M22" i="36" s="1"/>
  <c r="Q14" i="36" l="1"/>
  <c r="R14" i="36" s="1"/>
  <c r="Q13" i="36"/>
  <c r="R13" i="36" s="1"/>
  <c r="N15" i="36"/>
  <c r="O15" i="36" s="1"/>
  <c r="P15" i="36" s="1"/>
  <c r="Q15" i="36" s="1"/>
  <c r="R15" i="36" s="1"/>
  <c r="N20" i="36"/>
  <c r="O20" i="36" s="1"/>
  <c r="P20" i="36" s="1"/>
  <c r="Q20" i="36" s="1"/>
  <c r="R20" i="36" s="1"/>
  <c r="Q22" i="36"/>
  <c r="R22" i="36" s="1"/>
  <c r="H17" i="36" l="1"/>
  <c r="I17" i="36" s="1"/>
  <c r="J17" i="36" s="1"/>
  <c r="N17" i="36" l="1"/>
  <c r="O17" i="36" s="1"/>
  <c r="P17" i="36" s="1"/>
  <c r="K17" i="36"/>
  <c r="L17" i="36" s="1"/>
  <c r="M17" i="36" s="1"/>
  <c r="Q17" i="36" l="1"/>
  <c r="R17" i="36" s="1"/>
</calcChain>
</file>

<file path=xl/sharedStrings.xml><?xml version="1.0" encoding="utf-8"?>
<sst xmlns="http://schemas.openxmlformats.org/spreadsheetml/2006/main" count="66" uniqueCount="48">
  <si>
    <t>N</t>
  </si>
  <si>
    <t>d</t>
  </si>
  <si>
    <t>sqrt(N)</t>
  </si>
  <si>
    <t>df</t>
  </si>
  <si>
    <t>power</t>
  </si>
  <si>
    <t>BF+</t>
  </si>
  <si>
    <t>logBF+</t>
  </si>
  <si>
    <t>BF-</t>
  </si>
  <si>
    <t>logBF-</t>
  </si>
  <si>
    <t>Author: Robert Kelly, ORCID 0000-0002-1783-498X</t>
  </si>
  <si>
    <t>Email: rek2005@med.cornell.edu; robert.kelly@med.lu.se</t>
  </si>
  <si>
    <t>Date: April 7, 2026</t>
  </si>
  <si>
    <t>WlogBF+</t>
  </si>
  <si>
    <t>WlogBF-</t>
  </si>
  <si>
    <t>Vc</t>
  </si>
  <si>
    <t>Vc/N</t>
  </si>
  <si>
    <t>Number of participants per sample</t>
  </si>
  <si>
    <t>Effect size, Cohen's d</t>
  </si>
  <si>
    <t>α</t>
  </si>
  <si>
    <r>
      <t>1-</t>
    </r>
    <r>
      <rPr>
        <sz val="11"/>
        <color theme="1"/>
        <rFont val="Calibri"/>
        <family val="2"/>
      </rPr>
      <t>α</t>
    </r>
  </si>
  <si>
    <t>β</t>
  </si>
  <si>
    <t>Degrees of freedom for t-test</t>
  </si>
  <si>
    <t>This Microsoft Excel Spreadsheet file calculates the values for Table 1 in the Hypothesis Race Model paper.</t>
  </si>
  <si>
    <t>Briefly, null hypothesis significance testing is performed using a one-tailed t-test on paired samples to determine if a statistically significant increase has occurred.</t>
  </si>
  <si>
    <t>The data are considered normally distributed with standard deviation of 1 and mean 0; and their mean differences t-distributed.</t>
  </si>
  <si>
    <t>Key for column values in the Vc vs N sheet</t>
  </si>
  <si>
    <t>Also considered are the effects of allowing for a small methodological error that causes a negative result to be erroneously changed to a positive result in 1/1000 or 1/100 of cases.</t>
  </si>
  <si>
    <t>It is assumed that the estimated values of d and alpha are equal to actual values, which as discussed in the paper is necessary  to achieve maxiumum mean confirmation velocity</t>
  </si>
  <si>
    <t>actual and estimated α-level for hypothesis testing, which differs from the model α when risk of methodological error is added in</t>
  </si>
  <si>
    <t>k</t>
  </si>
  <si>
    <t>k-d</t>
  </si>
  <si>
    <t>The critical value of difference of the means for determination of the model  α-level for a positive, statistically significant result</t>
  </si>
  <si>
    <t>The value used to determine the power of the test for the case that the alternative hypothesis is true (t-distribution with mean d rather than 0)</t>
  </si>
  <si>
    <t>The power of the test, i.e. the probability that the outcome would be positive according to the statistical model if the alternative hypothesis is true</t>
  </si>
  <si>
    <t>1 - power.  This value of β is calculated from the model, but assumed equal to the actual value.</t>
  </si>
  <si>
    <t>log10(BF+)</t>
  </si>
  <si>
    <t>log10(BF-)</t>
  </si>
  <si>
    <t>Weighted logBF+ =  (1-β)log10[(1-β)/α]</t>
  </si>
  <si>
    <t>Maximum mean confirmation velocity per trial = WlogBF+ + WlogBF-</t>
  </si>
  <si>
    <t>Maximum mean confirmation velocity per participant</t>
  </si>
  <si>
    <t>The tables below calculate Vc/N for each of three risk levels of methodological error (0, 0.001, and 0.01), the risk of incorrectly classifying a negative outcome as positive when the null hypothesis is true.</t>
  </si>
  <si>
    <t>The maxiumum mean confirmation velocities for various sample sizes are calculated as per the binary Hypothesis Race Model, assuming that the actual effect size d = 0.2.</t>
  </si>
  <si>
    <t>The optimal α-level for this model is calculated using the Velocity_max function from the HRM toolbox of R-scripts.</t>
  </si>
  <si>
    <t>The optimal α value in the α column from the first table was found using the Velocity_max function from the R-scripts in the HRM toolbox.</t>
  </si>
  <si>
    <t>For the other two tables, the methodological error risk added into the α-column, but does not affect the k-column which uses the model α from the risk = 0 case.</t>
  </si>
  <si>
    <t>The Bayesian factor for a positive outcome = (1-β)/α</t>
  </si>
  <si>
    <t>The Bayesian factor for a negative outcome = β/(1-α)</t>
  </si>
  <si>
    <t>Weighted logBF- =  β*log10[β/(1-α)]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</si>
</sst>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B74F-88FC-4AD4-B0FD-BC8155525042}">
  <dimension ref="A1:B32"/>
  <sheetViews>
    <sheetView tabSelected="1" workbookViewId="0"/>
  </sheetViews>
  <sheetFormatPr defaultRowHeight="14.4" x14ac:dyDescent="0.3"/>
  <sheetData>
    <row r="1" spans="1:2" x14ac:dyDescent="0.3">
      <c r="A1" t="s">
        <v>9</v>
      </c>
    </row>
    <row r="2" spans="1:2" x14ac:dyDescent="0.3">
      <c r="A2" t="s">
        <v>11</v>
      </c>
    </row>
    <row r="3" spans="1:2" x14ac:dyDescent="0.3">
      <c r="A3" t="s">
        <v>10</v>
      </c>
    </row>
    <row r="5" spans="1:2" x14ac:dyDescent="0.3">
      <c r="A5" t="s">
        <v>22</v>
      </c>
    </row>
    <row r="6" spans="1:2" x14ac:dyDescent="0.3">
      <c r="A6" t="s">
        <v>23</v>
      </c>
    </row>
    <row r="7" spans="1:2" x14ac:dyDescent="0.3">
      <c r="A7" t="s">
        <v>24</v>
      </c>
    </row>
    <row r="8" spans="1:2" x14ac:dyDescent="0.3">
      <c r="A8" t="s">
        <v>41</v>
      </c>
    </row>
    <row r="9" spans="1:2" x14ac:dyDescent="0.3">
      <c r="A9" t="s">
        <v>42</v>
      </c>
    </row>
    <row r="10" spans="1:2" x14ac:dyDescent="0.3">
      <c r="A10" t="s">
        <v>27</v>
      </c>
    </row>
    <row r="11" spans="1:2" x14ac:dyDescent="0.3">
      <c r="A11" t="s">
        <v>26</v>
      </c>
    </row>
    <row r="13" spans="1:2" x14ac:dyDescent="0.3">
      <c r="A13" t="s">
        <v>25</v>
      </c>
    </row>
    <row r="15" spans="1:2" x14ac:dyDescent="0.3">
      <c r="A15" t="s">
        <v>0</v>
      </c>
      <c r="B15" t="s">
        <v>16</v>
      </c>
    </row>
    <row r="16" spans="1:2" x14ac:dyDescent="0.3">
      <c r="A16" t="s">
        <v>1</v>
      </c>
      <c r="B16" t="s">
        <v>17</v>
      </c>
    </row>
    <row r="17" spans="1:2" x14ac:dyDescent="0.3">
      <c r="A17" s="4" t="s">
        <v>18</v>
      </c>
      <c r="B17" t="s">
        <v>28</v>
      </c>
    </row>
    <row r="18" spans="1:2" x14ac:dyDescent="0.3">
      <c r="A18" t="s">
        <v>19</v>
      </c>
    </row>
    <row r="19" spans="1:2" x14ac:dyDescent="0.3">
      <c r="A19" t="s">
        <v>2</v>
      </c>
    </row>
    <row r="20" spans="1:2" x14ac:dyDescent="0.3">
      <c r="A20" t="s">
        <v>3</v>
      </c>
      <c r="B20" t="s">
        <v>21</v>
      </c>
    </row>
    <row r="21" spans="1:2" x14ac:dyDescent="0.3">
      <c r="A21" t="s">
        <v>29</v>
      </c>
      <c r="B21" t="s">
        <v>31</v>
      </c>
    </row>
    <row r="22" spans="1:2" x14ac:dyDescent="0.3">
      <c r="A22" t="s">
        <v>30</v>
      </c>
      <c r="B22" t="s">
        <v>32</v>
      </c>
    </row>
    <row r="23" spans="1:2" x14ac:dyDescent="0.3">
      <c r="A23" s="1" t="s">
        <v>4</v>
      </c>
      <c r="B23" t="s">
        <v>33</v>
      </c>
    </row>
    <row r="24" spans="1:2" x14ac:dyDescent="0.3">
      <c r="A24" s="4" t="s">
        <v>20</v>
      </c>
      <c r="B24" t="s">
        <v>34</v>
      </c>
    </row>
    <row r="25" spans="1:2" x14ac:dyDescent="0.3">
      <c r="A25" t="s">
        <v>5</v>
      </c>
      <c r="B25" t="s">
        <v>45</v>
      </c>
    </row>
    <row r="26" spans="1:2" x14ac:dyDescent="0.3">
      <c r="A26" t="s">
        <v>6</v>
      </c>
      <c r="B26" t="s">
        <v>35</v>
      </c>
    </row>
    <row r="27" spans="1:2" x14ac:dyDescent="0.3">
      <c r="A27" t="s">
        <v>12</v>
      </c>
      <c r="B27" t="s">
        <v>37</v>
      </c>
    </row>
    <row r="28" spans="1:2" x14ac:dyDescent="0.3">
      <c r="A28" t="s">
        <v>7</v>
      </c>
      <c r="B28" t="s">
        <v>46</v>
      </c>
    </row>
    <row r="29" spans="1:2" x14ac:dyDescent="0.3">
      <c r="A29" t="s">
        <v>8</v>
      </c>
      <c r="B29" t="s">
        <v>36</v>
      </c>
    </row>
    <row r="30" spans="1:2" x14ac:dyDescent="0.3">
      <c r="A30" t="s">
        <v>13</v>
      </c>
      <c r="B30" t="s">
        <v>47</v>
      </c>
    </row>
    <row r="31" spans="1:2" x14ac:dyDescent="0.3">
      <c r="A31" t="s">
        <v>14</v>
      </c>
      <c r="B31" t="s">
        <v>38</v>
      </c>
    </row>
    <row r="32" spans="1:2" x14ac:dyDescent="0.3">
      <c r="A32" s="1" t="s">
        <v>15</v>
      </c>
      <c r="B3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DC01-0753-4440-A279-609CA47D7E9A}">
  <dimension ref="A1:R24"/>
  <sheetViews>
    <sheetView workbookViewId="0"/>
  </sheetViews>
  <sheetFormatPr defaultRowHeight="14.4" x14ac:dyDescent="0.3"/>
  <cols>
    <col min="3" max="3" width="14.88671875" customWidth="1"/>
    <col min="4" max="8" width="9.109375" customWidth="1"/>
    <col min="9" max="9" width="12" style="1" customWidth="1"/>
    <col min="10" max="16" width="9.109375" customWidth="1"/>
    <col min="17" max="17" width="15.33203125" customWidth="1"/>
    <col min="18" max="18" width="8.88671875" style="1"/>
  </cols>
  <sheetData>
    <row r="1" spans="1:18" x14ac:dyDescent="0.3">
      <c r="A1" t="s">
        <v>40</v>
      </c>
    </row>
    <row r="2" spans="1:18" x14ac:dyDescent="0.3">
      <c r="A2" t="s">
        <v>43</v>
      </c>
    </row>
    <row r="3" spans="1:18" x14ac:dyDescent="0.3">
      <c r="A3" t="s">
        <v>44</v>
      </c>
    </row>
    <row r="5" spans="1:18" x14ac:dyDescent="0.3">
      <c r="A5" t="s">
        <v>0</v>
      </c>
      <c r="B5" t="s">
        <v>1</v>
      </c>
      <c r="C5" s="4" t="s">
        <v>18</v>
      </c>
      <c r="D5" t="s">
        <v>19</v>
      </c>
      <c r="E5" t="s">
        <v>2</v>
      </c>
      <c r="F5" t="s">
        <v>3</v>
      </c>
      <c r="G5" t="s">
        <v>29</v>
      </c>
      <c r="H5" t="s">
        <v>30</v>
      </c>
      <c r="I5" s="1" t="s">
        <v>4</v>
      </c>
      <c r="J5" s="4" t="s">
        <v>20</v>
      </c>
      <c r="K5" t="s">
        <v>5</v>
      </c>
      <c r="L5" t="s">
        <v>6</v>
      </c>
      <c r="M5" t="s">
        <v>12</v>
      </c>
      <c r="N5" t="s">
        <v>7</v>
      </c>
      <c r="O5" t="s">
        <v>8</v>
      </c>
      <c r="P5" t="s">
        <v>13</v>
      </c>
      <c r="Q5" t="s">
        <v>14</v>
      </c>
      <c r="R5" s="1" t="s">
        <v>15</v>
      </c>
    </row>
    <row r="6" spans="1:18" x14ac:dyDescent="0.3">
      <c r="A6">
        <v>5</v>
      </c>
      <c r="B6">
        <v>0.2</v>
      </c>
      <c r="C6">
        <v>0.39490742000000001</v>
      </c>
      <c r="D6">
        <f t="shared" ref="D6" si="0">1-C6</f>
        <v>0.60509257999999999</v>
      </c>
      <c r="E6">
        <f t="shared" ref="E6" si="1">SQRT(A6)</f>
        <v>2.2360679774997898</v>
      </c>
      <c r="F6">
        <f t="shared" ref="F6" si="2">A6-1</f>
        <v>4</v>
      </c>
      <c r="G6">
        <f>-_xlfn.T.INV(C6,F6)/E6</f>
        <v>0.12744128524315834</v>
      </c>
      <c r="H6">
        <f t="shared" ref="H6" si="3">G6-B6</f>
        <v>-7.2558714756841669E-2</v>
      </c>
      <c r="I6" s="3">
        <f>_xlfn.T.DIST.RT(E6*H6,F6)</f>
        <v>0.56051095405618601</v>
      </c>
      <c r="J6">
        <f t="shared" ref="J6:J10" si="4">1-I6</f>
        <v>0.43948904594381399</v>
      </c>
      <c r="K6">
        <f>I6/C6</f>
        <v>1.4193477399239194</v>
      </c>
      <c r="L6">
        <f t="shared" ref="L6:L10" si="5">LOG10(K6)</f>
        <v>0.15208881055857454</v>
      </c>
      <c r="M6">
        <f t="shared" ref="M6:M10" si="6">I6*L6</f>
        <v>8.5247444307457149E-2</v>
      </c>
      <c r="N6">
        <f>J6/D6</f>
        <v>0.72631703060020003</v>
      </c>
      <c r="O6">
        <f t="shared" ref="O6:O10" si="7">LOG10(N6)</f>
        <v>-0.13887377243095506</v>
      </c>
      <c r="P6">
        <f t="shared" ref="P6:P10" si="8">J6*O6</f>
        <v>-6.1033501752298776E-2</v>
      </c>
      <c r="Q6">
        <f t="shared" ref="Q6:Q10" si="9">M6+P6</f>
        <v>2.4213942555158373E-2</v>
      </c>
      <c r="R6" s="1">
        <f>1000*Q6/A6</f>
        <v>4.8427885110316744</v>
      </c>
    </row>
    <row r="7" spans="1:18" x14ac:dyDescent="0.3">
      <c r="A7">
        <v>20</v>
      </c>
      <c r="B7">
        <v>0.2</v>
      </c>
      <c r="C7">
        <v>0.2578184</v>
      </c>
      <c r="D7">
        <f t="shared" ref="D7" si="10">1-C7</f>
        <v>0.7421816</v>
      </c>
      <c r="E7">
        <f t="shared" ref="E7" si="11">SQRT(A7)</f>
        <v>4.4721359549995796</v>
      </c>
      <c r="F7">
        <f t="shared" ref="F7" si="12">A7-1</f>
        <v>19</v>
      </c>
      <c r="G7">
        <f>-_xlfn.T.INV(C7,F7)/E7</f>
        <v>0.1481290487796238</v>
      </c>
      <c r="H7">
        <f t="shared" ref="H7" si="13">G7-B7</f>
        <v>-5.1870951220376216E-2</v>
      </c>
      <c r="I7" s="3">
        <f>_xlfn.T.DIST.RT(E7*H7,F7)</f>
        <v>0.59048078565363848</v>
      </c>
      <c r="J7">
        <f t="shared" si="4"/>
        <v>0.40951921434636152</v>
      </c>
      <c r="K7">
        <f>I7/C7</f>
        <v>2.2902973009437591</v>
      </c>
      <c r="L7">
        <f t="shared" si="5"/>
        <v>0.35989186128257972</v>
      </c>
      <c r="M7">
        <f t="shared" si="6"/>
        <v>0.21250922900048794</v>
      </c>
      <c r="N7">
        <f>J7/D7</f>
        <v>0.55177764356642833</v>
      </c>
      <c r="O7">
        <f t="shared" si="7"/>
        <v>-0.25823589985615997</v>
      </c>
      <c r="P7">
        <f t="shared" si="8"/>
        <v>-0.10575256282512031</v>
      </c>
      <c r="Q7">
        <f t="shared" si="9"/>
        <v>0.10675666617536762</v>
      </c>
      <c r="R7" s="1">
        <f t="shared" ref="R7:R10" si="14">1000*Q7/A7</f>
        <v>5.3378333087683814</v>
      </c>
    </row>
    <row r="8" spans="1:18" x14ac:dyDescent="0.3">
      <c r="A8">
        <v>80</v>
      </c>
      <c r="B8">
        <v>0.2</v>
      </c>
      <c r="C8">
        <v>8.240654E-2</v>
      </c>
      <c r="D8">
        <f t="shared" ref="D8" si="15">1-C8</f>
        <v>0.91759345999999997</v>
      </c>
      <c r="E8">
        <f t="shared" ref="E8" si="16">SQRT(A8)</f>
        <v>8.9442719099991592</v>
      </c>
      <c r="F8">
        <f t="shared" ref="F8" si="17">A8-1</f>
        <v>79</v>
      </c>
      <c r="G8">
        <f>-_xlfn.T.INV(C8,F8)/E8</f>
        <v>0.15675558904845288</v>
      </c>
      <c r="H8">
        <f t="shared" ref="H8" si="18">G8-B8</f>
        <v>-4.324441095154713E-2</v>
      </c>
      <c r="I8" s="3">
        <f>_xlfn.T.DIST.RT(E8*H8,F8)</f>
        <v>0.65002410931488708</v>
      </c>
      <c r="J8">
        <f t="shared" si="4"/>
        <v>0.34997589068511292</v>
      </c>
      <c r="K8">
        <f>I8/C8</f>
        <v>7.8880160399270141</v>
      </c>
      <c r="L8">
        <f t="shared" si="5"/>
        <v>0.89696778505241315</v>
      </c>
      <c r="M8">
        <f t="shared" si="6"/>
        <v>0.5830506855628419</v>
      </c>
      <c r="N8">
        <f>J8/D8</f>
        <v>0.38140626098742347</v>
      </c>
      <c r="O8">
        <f t="shared" si="7"/>
        <v>-0.41861218205568879</v>
      </c>
      <c r="P8">
        <f t="shared" si="8"/>
        <v>-0.14650417126657833</v>
      </c>
      <c r="Q8">
        <f t="shared" si="9"/>
        <v>0.43654651429626357</v>
      </c>
      <c r="R8" s="1">
        <f t="shared" si="14"/>
        <v>5.4568314287032944</v>
      </c>
    </row>
    <row r="9" spans="1:18" x14ac:dyDescent="0.3">
      <c r="A9">
        <v>320</v>
      </c>
      <c r="B9">
        <v>0.2</v>
      </c>
      <c r="C9">
        <v>1.959096E-3</v>
      </c>
      <c r="D9">
        <f t="shared" ref="D9" si="19">1-C9</f>
        <v>0.99804090400000001</v>
      </c>
      <c r="E9">
        <f t="shared" ref="E9" si="20">SQRT(A9)</f>
        <v>17.888543819998318</v>
      </c>
      <c r="F9">
        <f t="shared" ref="F9" si="21">A9-1</f>
        <v>319</v>
      </c>
      <c r="G9">
        <f t="shared" ref="G9" si="22">-_xlfn.T.INV(C9,F9)/E9</f>
        <v>0.16244419274699426</v>
      </c>
      <c r="H9">
        <f t="shared" ref="H9" si="23">G9-B9</f>
        <v>-3.7555807253005752E-2</v>
      </c>
      <c r="I9" s="3">
        <f>_xlfn.T.DIST.RT(E9*H9,F9)</f>
        <v>0.74890731894486462</v>
      </c>
      <c r="J9">
        <f t="shared" si="4"/>
        <v>0.25109268105513538</v>
      </c>
      <c r="K9">
        <f>I9/C9</f>
        <v>382.27188404491898</v>
      </c>
      <c r="L9">
        <f t="shared" si="5"/>
        <v>2.5823723569958088</v>
      </c>
      <c r="M9">
        <f t="shared" si="6"/>
        <v>1.9339575583950619</v>
      </c>
      <c r="N9">
        <f>J9/D9</f>
        <v>0.25158556132197901</v>
      </c>
      <c r="O9">
        <f t="shared" si="7"/>
        <v>-0.59931428698720302</v>
      </c>
      <c r="P9">
        <f t="shared" si="8"/>
        <v>-0.15048343111426363</v>
      </c>
      <c r="Q9">
        <f t="shared" si="9"/>
        <v>1.7834741272807983</v>
      </c>
      <c r="R9" s="1">
        <f t="shared" si="14"/>
        <v>5.5733566477524947</v>
      </c>
    </row>
    <row r="10" spans="1:18" x14ac:dyDescent="0.3">
      <c r="A10">
        <v>1280</v>
      </c>
      <c r="B10">
        <v>0.2</v>
      </c>
      <c r="C10" s="2">
        <v>7.1781499999999997E-10</v>
      </c>
      <c r="D10">
        <f t="shared" ref="D10" si="24">1-C10</f>
        <v>0.99999999928218497</v>
      </c>
      <c r="E10">
        <f t="shared" ref="E10" si="25">SQRT(A10)</f>
        <v>35.777087639996637</v>
      </c>
      <c r="F10">
        <f t="shared" ref="F10" si="26">A10-1</f>
        <v>1279</v>
      </c>
      <c r="G10">
        <f t="shared" ref="G10" si="27">-_xlfn.T.INV(C10,F10)/E10</f>
        <v>0.17039435566621441</v>
      </c>
      <c r="H10">
        <f t="shared" ref="H10" si="28">G10-B10</f>
        <v>-2.9605644333785597E-2</v>
      </c>
      <c r="I10" s="3">
        <f>_xlfn.T.DIST.RT(E10*H10,F10)</f>
        <v>0.85514650207700482</v>
      </c>
      <c r="J10">
        <f t="shared" si="4"/>
        <v>0.14485349792299518</v>
      </c>
      <c r="K10">
        <f>I10/C10</f>
        <v>1191318796.7331483</v>
      </c>
      <c r="L10">
        <f t="shared" si="5"/>
        <v>9.0760279941742805</v>
      </c>
      <c r="M10">
        <f t="shared" si="6"/>
        <v>7.7613335919711099</v>
      </c>
      <c r="N10">
        <f>J10/D10</f>
        <v>0.1448534980269732</v>
      </c>
      <c r="O10">
        <f t="shared" si="7"/>
        <v>-0.83907101267652029</v>
      </c>
      <c r="P10">
        <f t="shared" si="8"/>
        <v>-0.12154237119198379</v>
      </c>
      <c r="Q10">
        <f t="shared" si="9"/>
        <v>7.6397912207791263</v>
      </c>
      <c r="R10" s="1">
        <f t="shared" si="14"/>
        <v>5.9685868912336923</v>
      </c>
    </row>
    <row r="13" spans="1:18" x14ac:dyDescent="0.3">
      <c r="A13">
        <v>5</v>
      </c>
      <c r="B13">
        <v>0.2</v>
      </c>
      <c r="C13" s="2">
        <f>C6+(0.001*(1-C6))</f>
        <v>0.39551251258000003</v>
      </c>
      <c r="D13">
        <f>1-C13</f>
        <v>0.60448748741999991</v>
      </c>
      <c r="E13">
        <f>SQRT(A13)</f>
        <v>2.2360679774997898</v>
      </c>
      <c r="F13">
        <f>A13-1</f>
        <v>4</v>
      </c>
      <c r="G13">
        <f>G6</f>
        <v>0.12744128524315834</v>
      </c>
      <c r="H13">
        <f>G13-B13</f>
        <v>-7.2558714756841669E-2</v>
      </c>
      <c r="I13" s="3">
        <f>_xlfn.T.DIST.RT(E13*H13,F13)</f>
        <v>0.56051095405618601</v>
      </c>
      <c r="J13">
        <f>1-I13</f>
        <v>0.43948904594381399</v>
      </c>
      <c r="K13">
        <f>I13/C13</f>
        <v>1.4171762870405065</v>
      </c>
      <c r="L13">
        <f>LOG10(K13)</f>
        <v>0.15142387687196632</v>
      </c>
      <c r="M13">
        <f>I13*L13</f>
        <v>8.4874741692392286E-2</v>
      </c>
      <c r="N13">
        <f>J13/D13</f>
        <v>0.72704407467487497</v>
      </c>
      <c r="O13">
        <f>LOG10(N13)</f>
        <v>-0.13843926065693732</v>
      </c>
      <c r="P13">
        <f>J13*O13</f>
        <v>-6.0842538587284369E-2</v>
      </c>
      <c r="Q13">
        <f>M13+P13</f>
        <v>2.4032203105107917E-2</v>
      </c>
      <c r="R13" s="1">
        <f t="shared" ref="R13:R17" si="29">1000*Q13/A13</f>
        <v>4.8064406210215838</v>
      </c>
    </row>
    <row r="14" spans="1:18" x14ac:dyDescent="0.3">
      <c r="A14">
        <v>20</v>
      </c>
      <c r="B14">
        <v>0.2</v>
      </c>
      <c r="C14" s="2">
        <f>C7+(0.001*(1-C7))</f>
        <v>0.25856058160000001</v>
      </c>
      <c r="D14">
        <f>1-C14</f>
        <v>0.74143941839999994</v>
      </c>
      <c r="E14">
        <f>SQRT(A14)</f>
        <v>4.4721359549995796</v>
      </c>
      <c r="F14">
        <f>A14-1</f>
        <v>19</v>
      </c>
      <c r="G14">
        <f>G7</f>
        <v>0.1481290487796238</v>
      </c>
      <c r="H14">
        <f>G14-B14</f>
        <v>-5.1870951220376216E-2</v>
      </c>
      <c r="I14" s="3">
        <f>_xlfn.T.DIST.RT(E14*H14,F14)</f>
        <v>0.59048078565363848</v>
      </c>
      <c r="J14">
        <f>1-I14</f>
        <v>0.40951921434636152</v>
      </c>
      <c r="K14">
        <f>I14/C14</f>
        <v>2.2837231491346492</v>
      </c>
      <c r="L14">
        <f>LOG10(K14)</f>
        <v>0.35864345417506205</v>
      </c>
      <c r="M14">
        <f>I14*L14</f>
        <v>0.21177206859082534</v>
      </c>
      <c r="N14">
        <f>J14/D14</f>
        <v>0.55232997353996838</v>
      </c>
      <c r="O14">
        <f>LOG10(N14)</f>
        <v>-0.2578013880821422</v>
      </c>
      <c r="P14">
        <f>J14*O14</f>
        <v>-0.10557462190480033</v>
      </c>
      <c r="Q14">
        <f>M14+P14</f>
        <v>0.10619744668602502</v>
      </c>
      <c r="R14" s="1">
        <f t="shared" si="29"/>
        <v>5.3098723343012511</v>
      </c>
    </row>
    <row r="15" spans="1:18" x14ac:dyDescent="0.3">
      <c r="A15">
        <v>80</v>
      </c>
      <c r="B15">
        <v>0.2</v>
      </c>
      <c r="C15" s="2">
        <f>C8+(0.001*(1-C8))</f>
        <v>8.3324133460000005E-2</v>
      </c>
      <c r="D15">
        <f>1-C15</f>
        <v>0.91667586654</v>
      </c>
      <c r="E15">
        <f>SQRT(A15)</f>
        <v>8.9442719099991592</v>
      </c>
      <c r="F15">
        <f>A15-1</f>
        <v>79</v>
      </c>
      <c r="G15">
        <f>G8</f>
        <v>0.15675558904845288</v>
      </c>
      <c r="H15">
        <f>G15-B15</f>
        <v>-4.324441095154713E-2</v>
      </c>
      <c r="I15" s="3">
        <f>_xlfn.T.DIST.RT(E15*H15,F15)</f>
        <v>0.65002410931488708</v>
      </c>
      <c r="J15">
        <f>1-I15</f>
        <v>0.34997589068511292</v>
      </c>
      <c r="K15">
        <f>I15/C15</f>
        <v>7.8011505469412779</v>
      </c>
      <c r="L15">
        <f>LOG10(K15)</f>
        <v>0.89215865901596358</v>
      </c>
      <c r="M15">
        <f>I15*L15</f>
        <v>0.57992463769441582</v>
      </c>
      <c r="N15">
        <f>J15/D15</f>
        <v>0.38178804903645991</v>
      </c>
      <c r="O15">
        <f>LOG10(N15)</f>
        <v>-0.41817767028167113</v>
      </c>
      <c r="P15">
        <f>J15*O15</f>
        <v>-0.14635210262145332</v>
      </c>
      <c r="Q15">
        <f>M15+P15</f>
        <v>0.43357253507296251</v>
      </c>
      <c r="R15" s="1">
        <f t="shared" si="29"/>
        <v>5.4196566884120312</v>
      </c>
    </row>
    <row r="16" spans="1:18" x14ac:dyDescent="0.3">
      <c r="A16">
        <v>320</v>
      </c>
      <c r="B16">
        <v>0.2</v>
      </c>
      <c r="C16" s="2">
        <f>C9+(0.001*(1-C9))</f>
        <v>2.9571369039999998E-3</v>
      </c>
      <c r="D16">
        <f>1-C16</f>
        <v>0.99704286309599999</v>
      </c>
      <c r="E16">
        <f>SQRT(A16)</f>
        <v>17.888543819998318</v>
      </c>
      <c r="F16">
        <f>A16-1</f>
        <v>319</v>
      </c>
      <c r="G16">
        <f>G9</f>
        <v>0.16244419274699426</v>
      </c>
      <c r="H16">
        <f>G16-B16</f>
        <v>-3.7555807253005752E-2</v>
      </c>
      <c r="I16" s="3">
        <f>_xlfn.T.DIST.RT(E16*H16,F16)</f>
        <v>0.74890731894486462</v>
      </c>
      <c r="J16">
        <f>1-I16</f>
        <v>0.25109268105513538</v>
      </c>
      <c r="K16">
        <f>I16/C16</f>
        <v>253.25419257114808</v>
      </c>
      <c r="L16">
        <f>LOG10(K16)</f>
        <v>2.4035566437477889</v>
      </c>
      <c r="M16">
        <f>I16*L16</f>
        <v>1.8000411620012737</v>
      </c>
      <c r="N16">
        <f>J16/D16</f>
        <v>0.25183739872069971</v>
      </c>
      <c r="O16">
        <f>LOG10(N16)</f>
        <v>-0.59887977521318536</v>
      </c>
      <c r="P16">
        <f>J16*O16</f>
        <v>-0.15037432838797551</v>
      </c>
      <c r="Q16">
        <f>M16+P16</f>
        <v>1.6496668336132982</v>
      </c>
      <c r="R16" s="1">
        <f t="shared" si="29"/>
        <v>5.1552088550415567</v>
      </c>
    </row>
    <row r="17" spans="1:18" x14ac:dyDescent="0.3">
      <c r="A17">
        <v>1280</v>
      </c>
      <c r="B17">
        <v>0.2</v>
      </c>
      <c r="C17" s="2">
        <f>C10+(0.001*(1-C10))</f>
        <v>1.0000007170971848E-3</v>
      </c>
      <c r="D17">
        <f>1-C17</f>
        <v>0.99899999928290284</v>
      </c>
      <c r="E17">
        <f>SQRT(A17)</f>
        <v>35.777087639996637</v>
      </c>
      <c r="F17">
        <f>A17-1</f>
        <v>1279</v>
      </c>
      <c r="G17">
        <f>G10</f>
        <v>0.17039435566621441</v>
      </c>
      <c r="H17">
        <f>G17-B17</f>
        <v>-2.9605644333785597E-2</v>
      </c>
      <c r="I17" s="3">
        <f>_xlfn.T.DIST.RT(E17*H17,F17)</f>
        <v>0.85514650207700482</v>
      </c>
      <c r="J17">
        <f>1-I17</f>
        <v>0.14485349792299518</v>
      </c>
      <c r="K17">
        <f>I17/C17</f>
        <v>855.14588885429532</v>
      </c>
      <c r="L17">
        <f>LOG10(K17)</f>
        <v>2.9320402121779381</v>
      </c>
      <c r="M17">
        <f>I17*L17</f>
        <v>2.5073239313930826</v>
      </c>
      <c r="N17">
        <f>J17/D17</f>
        <v>0.14499849652349669</v>
      </c>
      <c r="O17">
        <f>LOG10(N17)</f>
        <v>-0.83863650090250264</v>
      </c>
      <c r="P17">
        <f>J17*O17</f>
        <v>-0.12147943064162861</v>
      </c>
      <c r="Q17">
        <f>M17+P17</f>
        <v>2.3858445007514542</v>
      </c>
      <c r="R17" s="1">
        <f t="shared" si="29"/>
        <v>1.8639410162120735</v>
      </c>
    </row>
    <row r="20" spans="1:18" x14ac:dyDescent="0.3">
      <c r="A20">
        <v>5</v>
      </c>
      <c r="B20">
        <v>0.2</v>
      </c>
      <c r="C20" s="2">
        <f>C6+(0.01*(1-C6))</f>
        <v>0.4009583458</v>
      </c>
      <c r="D20">
        <f>1-C20</f>
        <v>0.5990416542</v>
      </c>
      <c r="E20">
        <f>SQRT(A20)</f>
        <v>2.2360679774997898</v>
      </c>
      <c r="F20">
        <f>A20-1</f>
        <v>4</v>
      </c>
      <c r="G20">
        <f>G13</f>
        <v>0.12744128524315834</v>
      </c>
      <c r="H20">
        <f>G20-B20</f>
        <v>-7.2558714756841669E-2</v>
      </c>
      <c r="I20" s="3">
        <f>_xlfn.T.DIST.RT(E20*H20,F20)</f>
        <v>0.56051095405618601</v>
      </c>
      <c r="J20">
        <f>1-I20</f>
        <v>0.43948904594381399</v>
      </c>
      <c r="K20">
        <f>I20/C20</f>
        <v>1.3979281387393083</v>
      </c>
      <c r="L20">
        <f>LOG10(K20)</f>
        <v>0.14548484683804327</v>
      </c>
      <c r="M20">
        <f>I20*L20</f>
        <v>8.1545850301909736E-2</v>
      </c>
      <c r="N20">
        <f>J20/D20</f>
        <v>0.73365356626282829</v>
      </c>
      <c r="O20">
        <f>LOG10(N20)</f>
        <v>-0.13450896702850498</v>
      </c>
      <c r="P20">
        <f>J20*O20</f>
        <v>-5.9115217590245586E-2</v>
      </c>
      <c r="Q20">
        <f>M20+P20</f>
        <v>2.243063271166415E-2</v>
      </c>
      <c r="R20" s="1">
        <f t="shared" ref="R20:R24" si="30">1000*Q20/A20</f>
        <v>4.4861265423328298</v>
      </c>
    </row>
    <row r="21" spans="1:18" x14ac:dyDescent="0.3">
      <c r="A21">
        <v>20</v>
      </c>
      <c r="B21">
        <v>0.2</v>
      </c>
      <c r="C21" s="2">
        <f>C7+(0.01*(1-C7))</f>
        <v>0.26524021600000003</v>
      </c>
      <c r="D21">
        <f>1-C21</f>
        <v>0.73475978399999997</v>
      </c>
      <c r="E21">
        <f>SQRT(A21)</f>
        <v>4.4721359549995796</v>
      </c>
      <c r="F21">
        <f>A21-1</f>
        <v>19</v>
      </c>
      <c r="G21">
        <f>G14</f>
        <v>0.1481290487796238</v>
      </c>
      <c r="H21">
        <f>G21-B21</f>
        <v>-5.1870951220376216E-2</v>
      </c>
      <c r="I21" s="3">
        <f>_xlfn.T.DIST.RT(E21*H21,F21)</f>
        <v>0.59048078565363848</v>
      </c>
      <c r="J21">
        <f>1-I21</f>
        <v>0.40951921434636152</v>
      </c>
      <c r="K21">
        <f>I21/C21</f>
        <v>2.2262113738198677</v>
      </c>
      <c r="L21">
        <f>LOG10(K21)</f>
        <v>0.34756639725179755</v>
      </c>
      <c r="M21">
        <f>I21*L21</f>
        <v>0.20523127931604604</v>
      </c>
      <c r="N21">
        <f>J21/D21</f>
        <v>0.55735115511760447</v>
      </c>
      <c r="O21">
        <f>LOG10(N21)</f>
        <v>-0.25387109445370981</v>
      </c>
      <c r="P21">
        <f>J21*O21</f>
        <v>-0.10396509114593418</v>
      </c>
      <c r="Q21">
        <f>M21+P21</f>
        <v>0.10126618817011186</v>
      </c>
      <c r="R21" s="1">
        <f t="shared" si="30"/>
        <v>5.0633094085055932</v>
      </c>
    </row>
    <row r="22" spans="1:18" x14ac:dyDescent="0.3">
      <c r="A22">
        <v>80</v>
      </c>
      <c r="B22">
        <v>0.2</v>
      </c>
      <c r="C22" s="2">
        <f>C8+(0.01*(1-C8))</f>
        <v>9.1582474600000005E-2</v>
      </c>
      <c r="D22">
        <f>1-C22</f>
        <v>0.90841752539999998</v>
      </c>
      <c r="E22">
        <f>SQRT(A22)</f>
        <v>8.9442719099991592</v>
      </c>
      <c r="F22">
        <f>A22-1</f>
        <v>79</v>
      </c>
      <c r="G22">
        <f>G15</f>
        <v>0.15675558904845288</v>
      </c>
      <c r="H22">
        <f>G22-B22</f>
        <v>-4.324441095154713E-2</v>
      </c>
      <c r="I22" s="3">
        <f>_xlfn.T.DIST.RT(E22*H22,F22)</f>
        <v>0.65002410931488708</v>
      </c>
      <c r="J22">
        <f>1-I22</f>
        <v>0.34997589068511292</v>
      </c>
      <c r="K22">
        <f>I22/C22</f>
        <v>7.0976910391858645</v>
      </c>
      <c r="L22">
        <f>LOG10(K22)</f>
        <v>0.8511170906868244</v>
      </c>
      <c r="M22">
        <f>I22*L22</f>
        <v>0.55324662879638098</v>
      </c>
      <c r="N22">
        <f>J22/D22</f>
        <v>0.38525884948224592</v>
      </c>
      <c r="O22">
        <f>LOG10(N22)</f>
        <v>-0.41424737665323874</v>
      </c>
      <c r="P22">
        <f>J22*O22</f>
        <v>-0.14497659460818868</v>
      </c>
      <c r="Q22">
        <f>M22+P22</f>
        <v>0.4082700341881923</v>
      </c>
      <c r="R22" s="1">
        <f t="shared" si="30"/>
        <v>5.1033754273524039</v>
      </c>
    </row>
    <row r="23" spans="1:18" x14ac:dyDescent="0.3">
      <c r="A23">
        <v>320</v>
      </c>
      <c r="B23">
        <v>0.2</v>
      </c>
      <c r="C23" s="2">
        <f>C9+(0.01*(1-C9))</f>
        <v>1.1939505040000001E-2</v>
      </c>
      <c r="D23">
        <f>1-C23</f>
        <v>0.98806049496000004</v>
      </c>
      <c r="E23">
        <f>SQRT(A23)</f>
        <v>17.888543819998318</v>
      </c>
      <c r="F23">
        <f>A23-1</f>
        <v>319</v>
      </c>
      <c r="G23">
        <f>G16</f>
        <v>0.16244419274699426</v>
      </c>
      <c r="H23">
        <f>G23-B23</f>
        <v>-3.7555807253005752E-2</v>
      </c>
      <c r="I23" s="3">
        <f>_xlfn.T.DIST.RT(E23*H23,F23)</f>
        <v>0.74890731894486462</v>
      </c>
      <c r="J23">
        <f>1-I23</f>
        <v>0.25109268105513538</v>
      </c>
      <c r="K23">
        <f>I23/C23</f>
        <v>62.725156230166853</v>
      </c>
      <c r="L23">
        <f>LOG10(K23)</f>
        <v>1.7974417516895556</v>
      </c>
      <c r="M23">
        <f>I23*L23</f>
        <v>1.3461172832173862</v>
      </c>
      <c r="N23">
        <f>J23/D23</f>
        <v>0.25412682961816063</v>
      </c>
      <c r="O23">
        <f>LOG10(N23)</f>
        <v>-0.59494948158475291</v>
      </c>
      <c r="P23">
        <f>J23*O23</f>
        <v>-0.1493874604234785</v>
      </c>
      <c r="Q23">
        <f>M23+P23</f>
        <v>1.1967298227939076</v>
      </c>
      <c r="R23" s="1">
        <f t="shared" si="30"/>
        <v>3.7397806962309614</v>
      </c>
    </row>
    <row r="24" spans="1:18" x14ac:dyDescent="0.3">
      <c r="A24">
        <v>1280</v>
      </c>
      <c r="B24">
        <v>0.2</v>
      </c>
      <c r="C24" s="2">
        <f>C10+(0.01*(1-C10))</f>
        <v>1.000000071063685E-2</v>
      </c>
      <c r="D24">
        <f>1-C24</f>
        <v>0.98999999928936311</v>
      </c>
      <c r="E24">
        <f>SQRT(A24)</f>
        <v>35.777087639996637</v>
      </c>
      <c r="F24">
        <f>A24-1</f>
        <v>1279</v>
      </c>
      <c r="G24">
        <f>G17</f>
        <v>0.17039435566621441</v>
      </c>
      <c r="H24">
        <f>G24-B24</f>
        <v>-2.9605644333785597E-2</v>
      </c>
      <c r="I24" s="3">
        <f>_xlfn.T.DIST.RT(E24*H24,F24)</f>
        <v>0.85514650207700482</v>
      </c>
      <c r="J24">
        <f>1-I24</f>
        <v>0.14485349792299518</v>
      </c>
      <c r="K24">
        <f>I24/C24</f>
        <v>85.514644130714743</v>
      </c>
      <c r="L24">
        <f>LOG10(K24)</f>
        <v>1.9320404927466115</v>
      </c>
      <c r="M24">
        <f>I24*L24</f>
        <v>1.6521776692433976</v>
      </c>
      <c r="N24">
        <f>J24/D24</f>
        <v>0.14631666467371029</v>
      </c>
      <c r="O24">
        <f>LOG10(N24)</f>
        <v>-0.8347062072740703</v>
      </c>
      <c r="P24">
        <f>J24*O24</f>
        <v>-0.12091011386168572</v>
      </c>
      <c r="Q24">
        <f>M24+P24</f>
        <v>1.5312675553817119</v>
      </c>
      <c r="R24" s="1">
        <f t="shared" si="30"/>
        <v>1.1963027776419624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Vc vs N</vt:lpstr>
    </vt:vector>
  </TitlesOfParts>
  <Company>NewYork-Presbyterian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Kelly</dc:creator>
  <cp:lastModifiedBy>Kelly, Robert</cp:lastModifiedBy>
  <dcterms:created xsi:type="dcterms:W3CDTF">2022-05-29T21:38:58Z</dcterms:created>
  <dcterms:modified xsi:type="dcterms:W3CDTF">2026-04-09T16:34:18Z</dcterms:modified>
</cp:coreProperties>
</file>