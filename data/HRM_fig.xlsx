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Keep\Research\HRM\paper\"/>
    </mc:Choice>
  </mc:AlternateContent>
  <xr:revisionPtr revIDLastSave="0" documentId="13_ncr:1_{7D411A41-0192-4103-A704-33435445A26E}" xr6:coauthVersionLast="47" xr6:coauthVersionMax="47" xr10:uidLastSave="{00000000-0000-0000-0000-000000000000}"/>
  <bookViews>
    <workbookView xWindow="-108" yWindow="-108" windowWidth="23232" windowHeight="12432" tabRatio="769" xr2:uid="{00000000-000D-0000-FFFF-FFFF00000000}"/>
  </bookViews>
  <sheets>
    <sheet name="Overview" sheetId="28" r:id="rId1"/>
    <sheet name="de.2" sheetId="6" r:id="rId2"/>
    <sheet name="de.4" sheetId="8" r:id="rId3"/>
    <sheet name="de.8" sheetId="19" r:id="rId4"/>
    <sheet name="de.2 figs" sheetId="23" r:id="rId5"/>
    <sheet name="de.4 figs" sheetId="27" r:id="rId6"/>
    <sheet name="de.8 figs" sheetId="2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4" i="19" l="1"/>
  <c r="E64" i="19"/>
  <c r="D64" i="19"/>
  <c r="F50" i="19"/>
  <c r="E50" i="19"/>
  <c r="D50" i="19"/>
  <c r="F37" i="19"/>
  <c r="E37" i="19"/>
  <c r="D37" i="19"/>
  <c r="F23" i="19"/>
  <c r="E23" i="19"/>
  <c r="D23" i="19"/>
  <c r="F9" i="19"/>
  <c r="E9" i="19"/>
  <c r="D9" i="19"/>
  <c r="F92" i="8"/>
  <c r="E92" i="8"/>
  <c r="D92" i="8"/>
  <c r="F78" i="8"/>
  <c r="E78" i="8"/>
  <c r="D78" i="8"/>
  <c r="F66" i="8"/>
  <c r="E66" i="8"/>
  <c r="D66" i="8"/>
  <c r="F51" i="8"/>
  <c r="E51" i="8"/>
  <c r="D51" i="8"/>
  <c r="F37" i="8"/>
  <c r="E37" i="8"/>
  <c r="D37" i="8"/>
  <c r="F23" i="8"/>
  <c r="E23" i="8"/>
  <c r="D23" i="8"/>
  <c r="F9" i="8"/>
  <c r="E9" i="8"/>
  <c r="D9" i="8"/>
  <c r="F120" i="6"/>
  <c r="E120" i="6"/>
  <c r="D120" i="6"/>
  <c r="F106" i="6"/>
  <c r="E106" i="6"/>
  <c r="D106" i="6"/>
  <c r="F92" i="6"/>
  <c r="E92" i="6"/>
  <c r="D92" i="6"/>
  <c r="F79" i="6"/>
  <c r="E79" i="6"/>
  <c r="D79" i="6"/>
  <c r="F65" i="6"/>
  <c r="E65" i="6"/>
  <c r="D65" i="6"/>
  <c r="F51" i="6"/>
  <c r="E51" i="6"/>
  <c r="D51" i="6"/>
  <c r="F37" i="6"/>
  <c r="E37" i="6"/>
  <c r="D37" i="6"/>
  <c r="F23" i="6"/>
  <c r="E23" i="6"/>
  <c r="D23" i="6"/>
  <c r="F9" i="6"/>
  <c r="E9" i="6"/>
  <c r="D9" i="6"/>
  <c r="G37" i="6" l="1"/>
  <c r="H37" i="6" s="1"/>
  <c r="G23" i="6"/>
  <c r="H23" i="6" s="1"/>
  <c r="I23" i="6" s="1"/>
  <c r="G79" i="6"/>
  <c r="R79" i="6" s="1"/>
  <c r="G65" i="6"/>
  <c r="X65" i="6" s="1"/>
  <c r="G9" i="19"/>
  <c r="X9" i="19" s="1"/>
  <c r="G51" i="6"/>
  <c r="H51" i="6" s="1"/>
  <c r="I51" i="6" s="1"/>
  <c r="G106" i="6"/>
  <c r="X106" i="6" s="1"/>
  <c r="G37" i="8"/>
  <c r="U37" i="8" s="1"/>
  <c r="G92" i="8"/>
  <c r="X92" i="8" s="1"/>
  <c r="G23" i="8"/>
  <c r="X23" i="8" s="1"/>
  <c r="G9" i="6"/>
  <c r="H9" i="6" s="1"/>
  <c r="I9" i="6" s="1"/>
  <c r="G92" i="6"/>
  <c r="H92" i="6" s="1"/>
  <c r="I92" i="6" s="1"/>
  <c r="G51" i="8"/>
  <c r="H51" i="8" s="1"/>
  <c r="I51" i="8" s="1"/>
  <c r="G23" i="19"/>
  <c r="G66" i="8"/>
  <c r="H66" i="8" s="1"/>
  <c r="I66" i="8" s="1"/>
  <c r="G120" i="6"/>
  <c r="H120" i="6" s="1"/>
  <c r="I120" i="6" s="1"/>
  <c r="G78" i="8"/>
  <c r="H78" i="8" s="1"/>
  <c r="I78" i="8" s="1"/>
  <c r="G9" i="8"/>
  <c r="H9" i="8" s="1"/>
  <c r="I9" i="8" s="1"/>
  <c r="L9" i="8" s="1"/>
  <c r="M9" i="8" s="1"/>
  <c r="G64" i="19"/>
  <c r="H64" i="19" s="1"/>
  <c r="I64" i="19" s="1"/>
  <c r="G50" i="19"/>
  <c r="U50" i="19" s="1"/>
  <c r="G37" i="19"/>
  <c r="H37" i="19" s="1"/>
  <c r="H23" i="19"/>
  <c r="H9" i="19"/>
  <c r="I9" i="19" s="1"/>
  <c r="R9" i="19"/>
  <c r="R92" i="8"/>
  <c r="X79" i="6"/>
  <c r="I37" i="6"/>
  <c r="R37" i="6"/>
  <c r="X23" i="6"/>
  <c r="R23" i="6"/>
  <c r="D72" i="19"/>
  <c r="E72" i="19"/>
  <c r="F72" i="19"/>
  <c r="U23" i="19" l="1"/>
  <c r="U9" i="19"/>
  <c r="R23" i="8"/>
  <c r="U23" i="8"/>
  <c r="H23" i="8"/>
  <c r="I23" i="8" s="1"/>
  <c r="X9" i="8"/>
  <c r="Y9" i="8" s="1"/>
  <c r="U9" i="8"/>
  <c r="R9" i="8"/>
  <c r="R66" i="8"/>
  <c r="J9" i="8"/>
  <c r="O9" i="8" s="1"/>
  <c r="P9" i="8" s="1"/>
  <c r="Z9" i="8" s="1"/>
  <c r="H37" i="8"/>
  <c r="I37" i="8" s="1"/>
  <c r="L37" i="8" s="1"/>
  <c r="M37" i="8" s="1"/>
  <c r="R37" i="8"/>
  <c r="U23" i="6"/>
  <c r="U51" i="6"/>
  <c r="X51" i="6"/>
  <c r="X37" i="6"/>
  <c r="U37" i="6"/>
  <c r="U92" i="6"/>
  <c r="R51" i="6"/>
  <c r="U79" i="6"/>
  <c r="U65" i="6"/>
  <c r="U120" i="6"/>
  <c r="H65" i="6"/>
  <c r="I65" i="6" s="1"/>
  <c r="U106" i="6"/>
  <c r="R65" i="6"/>
  <c r="R106" i="6"/>
  <c r="X92" i="6"/>
  <c r="H106" i="6"/>
  <c r="I106" i="6" s="1"/>
  <c r="J106" i="6" s="1"/>
  <c r="X9" i="6"/>
  <c r="U9" i="6"/>
  <c r="R9" i="6"/>
  <c r="H79" i="6"/>
  <c r="I79" i="6" s="1"/>
  <c r="J79" i="6" s="1"/>
  <c r="X120" i="6"/>
  <c r="G72" i="19"/>
  <c r="H72" i="19" s="1"/>
  <c r="I72" i="19" s="1"/>
  <c r="R92" i="6"/>
  <c r="R120" i="6"/>
  <c r="X37" i="8"/>
  <c r="U66" i="8"/>
  <c r="H92" i="8"/>
  <c r="I92" i="8" s="1"/>
  <c r="J92" i="8" s="1"/>
  <c r="R23" i="19"/>
  <c r="X23" i="19"/>
  <c r="X66" i="8"/>
  <c r="U92" i="8"/>
  <c r="R78" i="8"/>
  <c r="X78" i="8"/>
  <c r="U78" i="8"/>
  <c r="X51" i="8"/>
  <c r="R51" i="8"/>
  <c r="U51" i="8"/>
  <c r="L64" i="19"/>
  <c r="M64" i="19" s="1"/>
  <c r="J64" i="19"/>
  <c r="X64" i="19"/>
  <c r="U64" i="19"/>
  <c r="R64" i="19"/>
  <c r="X50" i="19"/>
  <c r="H50" i="19"/>
  <c r="R50" i="19"/>
  <c r="I37" i="19"/>
  <c r="U37" i="19"/>
  <c r="R37" i="19"/>
  <c r="X37" i="19"/>
  <c r="I23" i="19"/>
  <c r="J9" i="19"/>
  <c r="L9" i="19"/>
  <c r="M9" i="19" s="1"/>
  <c r="Y9" i="19" s="1"/>
  <c r="L78" i="8"/>
  <c r="M78" i="8" s="1"/>
  <c r="J78" i="8"/>
  <c r="J66" i="8"/>
  <c r="L66" i="8"/>
  <c r="M66" i="8" s="1"/>
  <c r="J51" i="8"/>
  <c r="L51" i="8"/>
  <c r="M51" i="8" s="1"/>
  <c r="J23" i="8"/>
  <c r="L23" i="8"/>
  <c r="M23" i="8" s="1"/>
  <c r="Y23" i="8" s="1"/>
  <c r="V9" i="8"/>
  <c r="AH9" i="8"/>
  <c r="AD9" i="8"/>
  <c r="AB9" i="8"/>
  <c r="AF9" i="8"/>
  <c r="S9" i="8"/>
  <c r="J120" i="6"/>
  <c r="L120" i="6"/>
  <c r="M120" i="6" s="1"/>
  <c r="J92" i="6"/>
  <c r="L92" i="6"/>
  <c r="M92" i="6" s="1"/>
  <c r="J51" i="6"/>
  <c r="L51" i="6"/>
  <c r="M51" i="6" s="1"/>
  <c r="J37" i="6"/>
  <c r="L37" i="6"/>
  <c r="M37" i="6" s="1"/>
  <c r="J23" i="6"/>
  <c r="L23" i="6"/>
  <c r="M23" i="6" s="1"/>
  <c r="Y23" i="6" s="1"/>
  <c r="J9" i="6"/>
  <c r="L9" i="6"/>
  <c r="M9" i="6" s="1"/>
  <c r="X71" i="19"/>
  <c r="U71" i="19"/>
  <c r="R71" i="19"/>
  <c r="X53" i="19"/>
  <c r="U53" i="19"/>
  <c r="R53" i="19"/>
  <c r="X36" i="19"/>
  <c r="U36" i="19"/>
  <c r="R36" i="19"/>
  <c r="X19" i="19"/>
  <c r="U19" i="19"/>
  <c r="R19" i="19"/>
  <c r="X100" i="8"/>
  <c r="U100" i="8"/>
  <c r="R100" i="8"/>
  <c r="X82" i="8"/>
  <c r="U82" i="8"/>
  <c r="R82" i="8"/>
  <c r="X65" i="8"/>
  <c r="U65" i="8"/>
  <c r="R65" i="8"/>
  <c r="X48" i="8"/>
  <c r="U48" i="8"/>
  <c r="R48" i="8"/>
  <c r="X33" i="8"/>
  <c r="U33" i="8"/>
  <c r="R33" i="8"/>
  <c r="X18" i="8"/>
  <c r="U18" i="8"/>
  <c r="R18" i="8"/>
  <c r="J37" i="8" l="1"/>
  <c r="L92" i="8"/>
  <c r="M92" i="8" s="1"/>
  <c r="AH92" i="8" s="1"/>
  <c r="Y78" i="8"/>
  <c r="V66" i="8"/>
  <c r="L65" i="6"/>
  <c r="M65" i="6" s="1"/>
  <c r="S65" i="6" s="1"/>
  <c r="J65" i="6"/>
  <c r="O65" i="6" s="1"/>
  <c r="P65" i="6" s="1"/>
  <c r="V9" i="6"/>
  <c r="V120" i="6"/>
  <c r="L79" i="6"/>
  <c r="M79" i="6" s="1"/>
  <c r="Y79" i="6" s="1"/>
  <c r="L106" i="6"/>
  <c r="M106" i="6" s="1"/>
  <c r="AF106" i="6" s="1"/>
  <c r="R72" i="19"/>
  <c r="U72" i="19"/>
  <c r="X72" i="19"/>
  <c r="S9" i="6"/>
  <c r="V23" i="6"/>
  <c r="S9" i="19"/>
  <c r="V78" i="8"/>
  <c r="S92" i="8"/>
  <c r="Y64" i="19"/>
  <c r="S64" i="19"/>
  <c r="O64" i="19"/>
  <c r="P64" i="19" s="1"/>
  <c r="V64" i="19"/>
  <c r="AH64" i="19"/>
  <c r="AD64" i="19"/>
  <c r="AF64" i="19"/>
  <c r="AB64" i="19"/>
  <c r="I50" i="19"/>
  <c r="L37" i="19"/>
  <c r="M37" i="19" s="1"/>
  <c r="S37" i="19" s="1"/>
  <c r="J37" i="19"/>
  <c r="L23" i="19"/>
  <c r="M23" i="19" s="1"/>
  <c r="J23" i="19"/>
  <c r="AH9" i="19"/>
  <c r="AD9" i="19"/>
  <c r="AF9" i="19"/>
  <c r="AB9" i="19"/>
  <c r="V9" i="19"/>
  <c r="O9" i="19"/>
  <c r="P9" i="19" s="1"/>
  <c r="Y66" i="8"/>
  <c r="S66" i="8"/>
  <c r="O92" i="8"/>
  <c r="P92" i="8" s="1"/>
  <c r="O78" i="8"/>
  <c r="P78" i="8" s="1"/>
  <c r="AH78" i="8"/>
  <c r="AD78" i="8"/>
  <c r="AF78" i="8"/>
  <c r="AB78" i="8"/>
  <c r="S78" i="8"/>
  <c r="O66" i="8"/>
  <c r="P66" i="8" s="1"/>
  <c r="AD66" i="8"/>
  <c r="AF66" i="8"/>
  <c r="AB66" i="8"/>
  <c r="AH66" i="8"/>
  <c r="S23" i="8"/>
  <c r="V23" i="8"/>
  <c r="Y37" i="8"/>
  <c r="AH51" i="8"/>
  <c r="AD51" i="8"/>
  <c r="AF51" i="8"/>
  <c r="AB51" i="8"/>
  <c r="Y51" i="8"/>
  <c r="V51" i="8"/>
  <c r="O51" i="8"/>
  <c r="P51" i="8" s="1"/>
  <c r="S51" i="8"/>
  <c r="S37" i="8"/>
  <c r="AH37" i="8"/>
  <c r="AD37" i="8"/>
  <c r="AB37" i="8"/>
  <c r="AF37" i="8"/>
  <c r="V37" i="8"/>
  <c r="O37" i="8"/>
  <c r="P37" i="8" s="1"/>
  <c r="AH23" i="8"/>
  <c r="AD23" i="8"/>
  <c r="AB23" i="8"/>
  <c r="AF23" i="8"/>
  <c r="O23" i="8"/>
  <c r="P23" i="8" s="1"/>
  <c r="AG9" i="8"/>
  <c r="AP9" i="8" s="1"/>
  <c r="AE9" i="8"/>
  <c r="AO9" i="8" s="1"/>
  <c r="AC9" i="8"/>
  <c r="AN9" i="8" s="1"/>
  <c r="AI9" i="8"/>
  <c r="AQ9" i="8" s="1"/>
  <c r="AM9" i="8"/>
  <c r="W9" i="8"/>
  <c r="AL9" i="8" s="1"/>
  <c r="T9" i="8"/>
  <c r="AK9" i="8" s="1"/>
  <c r="AH120" i="6"/>
  <c r="AD120" i="6"/>
  <c r="AF120" i="6"/>
  <c r="AB120" i="6"/>
  <c r="S120" i="6"/>
  <c r="O120" i="6"/>
  <c r="P120" i="6" s="1"/>
  <c r="Y120" i="6"/>
  <c r="O106" i="6"/>
  <c r="P106" i="6" s="1"/>
  <c r="O92" i="6"/>
  <c r="P92" i="6" s="1"/>
  <c r="V92" i="6"/>
  <c r="AD92" i="6"/>
  <c r="AF92" i="6"/>
  <c r="AB92" i="6"/>
  <c r="AH92" i="6"/>
  <c r="Y92" i="6"/>
  <c r="S92" i="6"/>
  <c r="AH79" i="6"/>
  <c r="O79" i="6"/>
  <c r="P79" i="6" s="1"/>
  <c r="AD65" i="6"/>
  <c r="AH51" i="6"/>
  <c r="AD51" i="6"/>
  <c r="AF51" i="6"/>
  <c r="AB51" i="6"/>
  <c r="S51" i="6"/>
  <c r="Y51" i="6"/>
  <c r="V51" i="6"/>
  <c r="O51" i="6"/>
  <c r="P51" i="6" s="1"/>
  <c r="AH37" i="6"/>
  <c r="AF37" i="6"/>
  <c r="AB37" i="6"/>
  <c r="AD37" i="6"/>
  <c r="Y37" i="6"/>
  <c r="O37" i="6"/>
  <c r="P37" i="6" s="1"/>
  <c r="V37" i="6"/>
  <c r="S37" i="6"/>
  <c r="O23" i="6"/>
  <c r="P23" i="6" s="1"/>
  <c r="AH23" i="6"/>
  <c r="AD23" i="6"/>
  <c r="AB23" i="6"/>
  <c r="AF23" i="6"/>
  <c r="S23" i="6"/>
  <c r="O9" i="6"/>
  <c r="P9" i="6" s="1"/>
  <c r="AH9" i="6"/>
  <c r="AD9" i="6"/>
  <c r="AF9" i="6"/>
  <c r="AB9" i="6"/>
  <c r="Y9" i="6"/>
  <c r="J72" i="19"/>
  <c r="L72" i="19"/>
  <c r="M72" i="19" s="1"/>
  <c r="E2" i="19"/>
  <c r="E3" i="19"/>
  <c r="E4" i="19"/>
  <c r="E5" i="19"/>
  <c r="E6" i="19"/>
  <c r="E7" i="19"/>
  <c r="E8" i="19"/>
  <c r="E10" i="19"/>
  <c r="E11" i="19"/>
  <c r="E12" i="19"/>
  <c r="E13" i="19"/>
  <c r="E14" i="19"/>
  <c r="E15" i="19"/>
  <c r="E16" i="19"/>
  <c r="E17" i="19"/>
  <c r="E18" i="19"/>
  <c r="E20" i="19"/>
  <c r="E21" i="19"/>
  <c r="E22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1" i="19"/>
  <c r="E52" i="19"/>
  <c r="E54" i="19"/>
  <c r="E55" i="19"/>
  <c r="E56" i="19"/>
  <c r="E57" i="19"/>
  <c r="E58" i="19"/>
  <c r="E59" i="19"/>
  <c r="E60" i="19"/>
  <c r="E61" i="19"/>
  <c r="E62" i="19"/>
  <c r="E63" i="19"/>
  <c r="E65" i="19"/>
  <c r="E66" i="19"/>
  <c r="E67" i="19"/>
  <c r="E68" i="19"/>
  <c r="E69" i="19"/>
  <c r="E70" i="19"/>
  <c r="V92" i="8" l="1"/>
  <c r="AF92" i="8"/>
  <c r="AB92" i="8"/>
  <c r="AD92" i="8"/>
  <c r="Y92" i="8"/>
  <c r="AB65" i="6"/>
  <c r="Y65" i="6"/>
  <c r="AH65" i="6"/>
  <c r="AF65" i="6"/>
  <c r="V65" i="6"/>
  <c r="V79" i="6"/>
  <c r="S79" i="6"/>
  <c r="AF79" i="6"/>
  <c r="AD79" i="6"/>
  <c r="V106" i="6"/>
  <c r="AB79" i="6"/>
  <c r="AH106" i="6"/>
  <c r="S106" i="6"/>
  <c r="AB106" i="6"/>
  <c r="AD106" i="6"/>
  <c r="Y106" i="6"/>
  <c r="Y37" i="19"/>
  <c r="V37" i="19"/>
  <c r="AI64" i="19"/>
  <c r="AQ64" i="19" s="1"/>
  <c r="AC64" i="19"/>
  <c r="AN64" i="19" s="1"/>
  <c r="AE64" i="19"/>
  <c r="AO64" i="19" s="1"/>
  <c r="AG64" i="19"/>
  <c r="AP64" i="19"/>
  <c r="W64" i="19"/>
  <c r="AL64" i="19" s="1"/>
  <c r="T64" i="19"/>
  <c r="AK64" i="19" s="1"/>
  <c r="Z64" i="19"/>
  <c r="AM64" i="19" s="1"/>
  <c r="L50" i="19"/>
  <c r="M50" i="19" s="1"/>
  <c r="J50" i="19"/>
  <c r="O37" i="19"/>
  <c r="P37" i="19" s="1"/>
  <c r="AH37" i="19"/>
  <c r="AD37" i="19"/>
  <c r="AF37" i="19"/>
  <c r="AB37" i="19"/>
  <c r="O23" i="19"/>
  <c r="P23" i="19" s="1"/>
  <c r="AH23" i="19"/>
  <c r="AD23" i="19"/>
  <c r="AF23" i="19"/>
  <c r="AB23" i="19"/>
  <c r="S23" i="19"/>
  <c r="Y23" i="19"/>
  <c r="V23" i="19"/>
  <c r="AG9" i="19"/>
  <c r="AP9" i="19" s="1"/>
  <c r="AE9" i="19"/>
  <c r="AO9" i="19" s="1"/>
  <c r="AC9" i="19"/>
  <c r="AN9" i="19" s="1"/>
  <c r="AI9" i="19"/>
  <c r="AQ9" i="19" s="1"/>
  <c r="T9" i="19"/>
  <c r="AK9" i="19" s="1"/>
  <c r="W9" i="19"/>
  <c r="AL9" i="19" s="1"/>
  <c r="Z9" i="19"/>
  <c r="AM9" i="19" s="1"/>
  <c r="AG92" i="8"/>
  <c r="AP92" i="8" s="1"/>
  <c r="AE92" i="8"/>
  <c r="AO92" i="8" s="1"/>
  <c r="AC92" i="8"/>
  <c r="AI92" i="8"/>
  <c r="AQ92" i="8" s="1"/>
  <c r="Z92" i="8"/>
  <c r="T92" i="8"/>
  <c r="AK92" i="8" s="1"/>
  <c r="W92" i="8"/>
  <c r="AL92" i="8" s="1"/>
  <c r="AI78" i="8"/>
  <c r="AQ78" i="8" s="1"/>
  <c r="AC78" i="8"/>
  <c r="AN78" i="8" s="1"/>
  <c r="AE78" i="8"/>
  <c r="AO78" i="8" s="1"/>
  <c r="AG78" i="8"/>
  <c r="AP78" i="8" s="1"/>
  <c r="W78" i="8"/>
  <c r="AL78" i="8" s="1"/>
  <c r="T78" i="8"/>
  <c r="AK78" i="8" s="1"/>
  <c r="Z78" i="8"/>
  <c r="AM78" i="8" s="1"/>
  <c r="AG66" i="8"/>
  <c r="AP66" i="8" s="1"/>
  <c r="AI66" i="8"/>
  <c r="AQ66" i="8" s="1"/>
  <c r="AE66" i="8"/>
  <c r="AO66" i="8" s="1"/>
  <c r="AC66" i="8"/>
  <c r="AN66" i="8" s="1"/>
  <c r="T66" i="8"/>
  <c r="AK66" i="8" s="1"/>
  <c r="W66" i="8"/>
  <c r="AL66" i="8" s="1"/>
  <c r="Z66" i="8"/>
  <c r="AM66" i="8" s="1"/>
  <c r="AG51" i="8"/>
  <c r="AP51" i="8" s="1"/>
  <c r="AE51" i="8"/>
  <c r="AO51" i="8" s="1"/>
  <c r="AI51" i="8"/>
  <c r="AQ51" i="8" s="1"/>
  <c r="AC51" i="8"/>
  <c r="AN51" i="8" s="1"/>
  <c r="T51" i="8"/>
  <c r="AK51" i="8" s="1"/>
  <c r="Z51" i="8"/>
  <c r="AM51" i="8" s="1"/>
  <c r="W51" i="8"/>
  <c r="AL51" i="8" s="1"/>
  <c r="W37" i="8"/>
  <c r="AL37" i="8" s="1"/>
  <c r="AE37" i="8"/>
  <c r="AO37" i="8" s="1"/>
  <c r="AC37" i="8"/>
  <c r="AN37" i="8" s="1"/>
  <c r="AG37" i="8"/>
  <c r="AP37" i="8" s="1"/>
  <c r="AI37" i="8"/>
  <c r="AQ37" i="8" s="1"/>
  <c r="Z37" i="8"/>
  <c r="AM37" i="8" s="1"/>
  <c r="T37" i="8"/>
  <c r="AK37" i="8" s="1"/>
  <c r="AE23" i="8"/>
  <c r="AO23" i="8" s="1"/>
  <c r="AI23" i="8"/>
  <c r="AQ23" i="8" s="1"/>
  <c r="AG23" i="8"/>
  <c r="AP23" i="8" s="1"/>
  <c r="AC23" i="8"/>
  <c r="AN23" i="8" s="1"/>
  <c r="Z23" i="8"/>
  <c r="AM23" i="8" s="1"/>
  <c r="T23" i="8"/>
  <c r="AK23" i="8" s="1"/>
  <c r="W23" i="8"/>
  <c r="AL23" i="8" s="1"/>
  <c r="AE120" i="6"/>
  <c r="AO120" i="6" s="1"/>
  <c r="AI120" i="6"/>
  <c r="AQ120" i="6" s="1"/>
  <c r="AG120" i="6"/>
  <c r="AP120" i="6" s="1"/>
  <c r="AC120" i="6"/>
  <c r="AN120" i="6" s="1"/>
  <c r="T120" i="6"/>
  <c r="AK120" i="6" s="1"/>
  <c r="Z120" i="6"/>
  <c r="AM120" i="6" s="1"/>
  <c r="W120" i="6"/>
  <c r="AL120" i="6" s="1"/>
  <c r="AE106" i="6"/>
  <c r="AI106" i="6"/>
  <c r="AG106" i="6"/>
  <c r="AP106" i="6" s="1"/>
  <c r="AC106" i="6"/>
  <c r="T106" i="6"/>
  <c r="W106" i="6"/>
  <c r="Z106" i="6"/>
  <c r="AG92" i="6"/>
  <c r="AP92" i="6" s="1"/>
  <c r="AI92" i="6"/>
  <c r="AQ92" i="6" s="1"/>
  <c r="AE92" i="6"/>
  <c r="AO92" i="6" s="1"/>
  <c r="AC92" i="6"/>
  <c r="AN92" i="6" s="1"/>
  <c r="Z92" i="6"/>
  <c r="AM92" i="6" s="1"/>
  <c r="W92" i="6"/>
  <c r="AL92" i="6" s="1"/>
  <c r="T92" i="6"/>
  <c r="AK92" i="6" s="1"/>
  <c r="AE79" i="6"/>
  <c r="AG79" i="6"/>
  <c r="AI79" i="6"/>
  <c r="AQ79" i="6" s="1"/>
  <c r="AC79" i="6"/>
  <c r="AN79" i="6" s="1"/>
  <c r="Z79" i="6"/>
  <c r="AM79" i="6" s="1"/>
  <c r="W79" i="6"/>
  <c r="T79" i="6"/>
  <c r="AC65" i="6"/>
  <c r="AN65" i="6" s="1"/>
  <c r="AG65" i="6"/>
  <c r="AP65" i="6" s="1"/>
  <c r="AI65" i="6"/>
  <c r="AE65" i="6"/>
  <c r="AO65" i="6" s="1"/>
  <c r="W65" i="6"/>
  <c r="AL65" i="6" s="1"/>
  <c r="Z65" i="6"/>
  <c r="AM65" i="6" s="1"/>
  <c r="T65" i="6"/>
  <c r="AK65" i="6" s="1"/>
  <c r="AE51" i="6"/>
  <c r="AO51" i="6" s="1"/>
  <c r="AI51" i="6"/>
  <c r="AQ51" i="6" s="1"/>
  <c r="AC51" i="6"/>
  <c r="AN51" i="6" s="1"/>
  <c r="AG51" i="6"/>
  <c r="AP51" i="6" s="1"/>
  <c r="T51" i="6"/>
  <c r="AK51" i="6" s="1"/>
  <c r="Z51" i="6"/>
  <c r="AM51" i="6" s="1"/>
  <c r="W51" i="6"/>
  <c r="AL51" i="6" s="1"/>
  <c r="AE37" i="6"/>
  <c r="AO37" i="6" s="1"/>
  <c r="AI37" i="6"/>
  <c r="AQ37" i="6" s="1"/>
  <c r="AG37" i="6"/>
  <c r="AP37" i="6" s="1"/>
  <c r="AC37" i="6"/>
  <c r="AN37" i="6" s="1"/>
  <c r="Z37" i="6"/>
  <c r="AM37" i="6" s="1"/>
  <c r="T37" i="6"/>
  <c r="AK37" i="6" s="1"/>
  <c r="W37" i="6"/>
  <c r="AL37" i="6" s="1"/>
  <c r="AI23" i="6"/>
  <c r="AQ23" i="6" s="1"/>
  <c r="AE23" i="6"/>
  <c r="AO23" i="6" s="1"/>
  <c r="AG23" i="6"/>
  <c r="AP23" i="6" s="1"/>
  <c r="AC23" i="6"/>
  <c r="AN23" i="6" s="1"/>
  <c r="W23" i="6"/>
  <c r="AL23" i="6" s="1"/>
  <c r="T23" i="6"/>
  <c r="AK23" i="6" s="1"/>
  <c r="Z23" i="6"/>
  <c r="AM23" i="6" s="1"/>
  <c r="AG9" i="6"/>
  <c r="AP9" i="6" s="1"/>
  <c r="AE9" i="6"/>
  <c r="AO9" i="6" s="1"/>
  <c r="AC9" i="6"/>
  <c r="AN9" i="6" s="1"/>
  <c r="AI9" i="6"/>
  <c r="AQ9" i="6" s="1"/>
  <c r="W9" i="6"/>
  <c r="AL9" i="6" s="1"/>
  <c r="Z9" i="6"/>
  <c r="AM9" i="6" s="1"/>
  <c r="T9" i="6"/>
  <c r="AK9" i="6" s="1"/>
  <c r="AD72" i="19"/>
  <c r="AH72" i="19"/>
  <c r="AB72" i="19"/>
  <c r="AF72" i="19"/>
  <c r="Y72" i="19"/>
  <c r="O72" i="19"/>
  <c r="P72" i="19" s="1"/>
  <c r="V72" i="19"/>
  <c r="S72" i="19"/>
  <c r="D3" i="8"/>
  <c r="F3" i="8"/>
  <c r="E3" i="8"/>
  <c r="D4" i="19"/>
  <c r="F4" i="19"/>
  <c r="G4" i="19" s="1"/>
  <c r="H4" i="19" s="1"/>
  <c r="AN92" i="8" l="1"/>
  <c r="AM92" i="8"/>
  <c r="AL79" i="6"/>
  <c r="AQ65" i="6"/>
  <c r="AP79" i="6"/>
  <c r="AO79" i="6"/>
  <c r="AQ106" i="6"/>
  <c r="AK79" i="6"/>
  <c r="AL106" i="6"/>
  <c r="AK106" i="6"/>
  <c r="AN106" i="6"/>
  <c r="AO106" i="6"/>
  <c r="AM106" i="6"/>
  <c r="O50" i="19"/>
  <c r="P50" i="19" s="1"/>
  <c r="AH50" i="19"/>
  <c r="AD50" i="19"/>
  <c r="AF50" i="19"/>
  <c r="AB50" i="19"/>
  <c r="V50" i="19"/>
  <c r="S50" i="19"/>
  <c r="Y50" i="19"/>
  <c r="AC37" i="19"/>
  <c r="AN37" i="19" s="1"/>
  <c r="AE37" i="19"/>
  <c r="AO37" i="19" s="1"/>
  <c r="AG37" i="19"/>
  <c r="AP37" i="19" s="1"/>
  <c r="AI37" i="19"/>
  <c r="AQ37" i="19" s="1"/>
  <c r="W37" i="19"/>
  <c r="AL37" i="19" s="1"/>
  <c r="Z37" i="19"/>
  <c r="AM37" i="19" s="1"/>
  <c r="T37" i="19"/>
  <c r="AK37" i="19" s="1"/>
  <c r="AI23" i="19"/>
  <c r="AQ23" i="19" s="1"/>
  <c r="AC23" i="19"/>
  <c r="AN23" i="19" s="1"/>
  <c r="AG23" i="19"/>
  <c r="AP23" i="19" s="1"/>
  <c r="AE23" i="19"/>
  <c r="AO23" i="19" s="1"/>
  <c r="W23" i="19"/>
  <c r="AL23" i="19" s="1"/>
  <c r="T23" i="19"/>
  <c r="AK23" i="19" s="1"/>
  <c r="Z23" i="19"/>
  <c r="AM23" i="19" s="1"/>
  <c r="AC72" i="19"/>
  <c r="AN72" i="19" s="1"/>
  <c r="AG72" i="19"/>
  <c r="AP72" i="19" s="1"/>
  <c r="AE72" i="19"/>
  <c r="AO72" i="19" s="1"/>
  <c r="AI72" i="19"/>
  <c r="AQ72" i="19" s="1"/>
  <c r="Z72" i="19"/>
  <c r="AM72" i="19" s="1"/>
  <c r="W72" i="19"/>
  <c r="AL72" i="19" s="1"/>
  <c r="T72" i="19"/>
  <c r="AK72" i="19" s="1"/>
  <c r="R4" i="19"/>
  <c r="U4" i="19"/>
  <c r="X4" i="19"/>
  <c r="G3" i="8"/>
  <c r="H3" i="8" s="1"/>
  <c r="I3" i="8" s="1"/>
  <c r="I4" i="19"/>
  <c r="D3" i="6"/>
  <c r="F3" i="6"/>
  <c r="E3" i="6"/>
  <c r="AI50" i="19" l="1"/>
  <c r="AQ50" i="19" s="1"/>
  <c r="AC50" i="19"/>
  <c r="AN50" i="19" s="1"/>
  <c r="AE50" i="19"/>
  <c r="AO50" i="19" s="1"/>
  <c r="AG50" i="19"/>
  <c r="AP50" i="19" s="1"/>
  <c r="W50" i="19"/>
  <c r="AL50" i="19" s="1"/>
  <c r="T50" i="19"/>
  <c r="AK50" i="19" s="1"/>
  <c r="Z50" i="19"/>
  <c r="AM50" i="19" s="1"/>
  <c r="X3" i="8"/>
  <c r="U3" i="8"/>
  <c r="R3" i="8"/>
  <c r="G3" i="6"/>
  <c r="H3" i="6" s="1"/>
  <c r="I3" i="6" s="1"/>
  <c r="J3" i="8"/>
  <c r="L3" i="8"/>
  <c r="M3" i="8" s="1"/>
  <c r="J4" i="19"/>
  <c r="L4" i="19"/>
  <c r="M4" i="19" s="1"/>
  <c r="S4" i="19" s="1"/>
  <c r="V4" i="19" l="1"/>
  <c r="R3" i="6"/>
  <c r="AF4" i="19"/>
  <c r="AB4" i="19"/>
  <c r="AD4" i="19"/>
  <c r="AH4" i="19"/>
  <c r="Y4" i="19"/>
  <c r="AF3" i="8"/>
  <c r="AD3" i="8"/>
  <c r="AH3" i="8"/>
  <c r="AB3" i="8"/>
  <c r="V3" i="8"/>
  <c r="S3" i="8"/>
  <c r="Y3" i="8"/>
  <c r="U3" i="6"/>
  <c r="X3" i="6"/>
  <c r="O3" i="8"/>
  <c r="P3" i="8" s="1"/>
  <c r="W3" i="8" s="1"/>
  <c r="O4" i="19"/>
  <c r="P4" i="19" s="1"/>
  <c r="J3" i="6"/>
  <c r="L3" i="6"/>
  <c r="M3" i="6" s="1"/>
  <c r="D15" i="19"/>
  <c r="F15" i="19"/>
  <c r="D14" i="19"/>
  <c r="F14" i="19"/>
  <c r="G14" i="19" s="1"/>
  <c r="D13" i="19"/>
  <c r="F13" i="19"/>
  <c r="D12" i="19"/>
  <c r="F12" i="19"/>
  <c r="D11" i="19"/>
  <c r="F11" i="19"/>
  <c r="G11" i="19" s="1"/>
  <c r="D10" i="19"/>
  <c r="F10" i="19"/>
  <c r="G10" i="19" s="1"/>
  <c r="D8" i="19"/>
  <c r="F8" i="19"/>
  <c r="D7" i="19"/>
  <c r="F7" i="19"/>
  <c r="D6" i="19"/>
  <c r="F6" i="19"/>
  <c r="D5" i="19"/>
  <c r="F5" i="19"/>
  <c r="G5" i="19" s="1"/>
  <c r="D3" i="19"/>
  <c r="F3" i="19"/>
  <c r="D2" i="19"/>
  <c r="F2" i="19"/>
  <c r="G2" i="19" s="1"/>
  <c r="D15" i="8"/>
  <c r="F15" i="8"/>
  <c r="E15" i="8"/>
  <c r="D14" i="8"/>
  <c r="F14" i="8"/>
  <c r="E14" i="8"/>
  <c r="D13" i="8"/>
  <c r="F13" i="8"/>
  <c r="E13" i="8"/>
  <c r="D12" i="8"/>
  <c r="F12" i="8"/>
  <c r="E12" i="8"/>
  <c r="D11" i="8"/>
  <c r="F11" i="8"/>
  <c r="E11" i="8"/>
  <c r="D10" i="8"/>
  <c r="F10" i="8"/>
  <c r="E10" i="8"/>
  <c r="D8" i="8"/>
  <c r="F8" i="8"/>
  <c r="E8" i="8"/>
  <c r="D7" i="8"/>
  <c r="F7" i="8"/>
  <c r="E7" i="8"/>
  <c r="D6" i="8"/>
  <c r="F6" i="8"/>
  <c r="E6" i="8"/>
  <c r="D5" i="8"/>
  <c r="F5" i="8"/>
  <c r="E5" i="8"/>
  <c r="D4" i="8"/>
  <c r="F4" i="8"/>
  <c r="E4" i="8"/>
  <c r="D2" i="8"/>
  <c r="F2" i="8"/>
  <c r="E2" i="8"/>
  <c r="S3" i="6" l="1"/>
  <c r="AI4" i="19"/>
  <c r="AQ4" i="19" s="1"/>
  <c r="AE4" i="19"/>
  <c r="AO4" i="19" s="1"/>
  <c r="AG4" i="19"/>
  <c r="AP4" i="19" s="1"/>
  <c r="AC4" i="19"/>
  <c r="AN4" i="19" s="1"/>
  <c r="Z4" i="19"/>
  <c r="AM4" i="19" s="1"/>
  <c r="T4" i="19"/>
  <c r="AK4" i="19" s="1"/>
  <c r="W4" i="19"/>
  <c r="AL4" i="19" s="1"/>
  <c r="H2" i="19"/>
  <c r="I2" i="19" s="1"/>
  <c r="J2" i="19" s="1"/>
  <c r="X2" i="19"/>
  <c r="U2" i="19"/>
  <c r="R2" i="19"/>
  <c r="H5" i="19"/>
  <c r="R5" i="19"/>
  <c r="X5" i="19"/>
  <c r="U5" i="19"/>
  <c r="H10" i="19"/>
  <c r="I10" i="19" s="1"/>
  <c r="J10" i="19" s="1"/>
  <c r="O10" i="19" s="1"/>
  <c r="P10" i="19" s="1"/>
  <c r="AI10" i="19" s="1"/>
  <c r="U10" i="19"/>
  <c r="R10" i="19"/>
  <c r="X10" i="19"/>
  <c r="H14" i="19"/>
  <c r="I14" i="19" s="1"/>
  <c r="U14" i="19"/>
  <c r="X14" i="19"/>
  <c r="R14" i="19"/>
  <c r="H11" i="19"/>
  <c r="I11" i="19" s="1"/>
  <c r="L11" i="19" s="1"/>
  <c r="M11" i="19" s="1"/>
  <c r="U11" i="19"/>
  <c r="R11" i="19"/>
  <c r="X11" i="19"/>
  <c r="Z3" i="8"/>
  <c r="AM3" i="8" s="1"/>
  <c r="AI3" i="8"/>
  <c r="AQ3" i="8" s="1"/>
  <c r="AC3" i="8"/>
  <c r="AN3" i="8" s="1"/>
  <c r="AG3" i="8"/>
  <c r="AP3" i="8" s="1"/>
  <c r="AE3" i="8"/>
  <c r="AO3" i="8" s="1"/>
  <c r="T3" i="8"/>
  <c r="AK3" i="8" s="1"/>
  <c r="AL3" i="8"/>
  <c r="AF3" i="6"/>
  <c r="AB3" i="6"/>
  <c r="AH3" i="6"/>
  <c r="AD3" i="6"/>
  <c r="Y3" i="6"/>
  <c r="V3" i="6"/>
  <c r="G6" i="8"/>
  <c r="H6" i="8" s="1"/>
  <c r="I6" i="8" s="1"/>
  <c r="G11" i="8"/>
  <c r="H11" i="8" s="1"/>
  <c r="I11" i="8" s="1"/>
  <c r="G15" i="8"/>
  <c r="H15" i="8" s="1"/>
  <c r="I15" i="8" s="1"/>
  <c r="G12" i="8"/>
  <c r="H12" i="8" s="1"/>
  <c r="I12" i="8" s="1"/>
  <c r="L12" i="8" s="1"/>
  <c r="M12" i="8" s="1"/>
  <c r="G5" i="8"/>
  <c r="H5" i="8" s="1"/>
  <c r="I5" i="8" s="1"/>
  <c r="G2" i="8"/>
  <c r="H2" i="8" s="1"/>
  <c r="I2" i="8" s="1"/>
  <c r="G10" i="8"/>
  <c r="H10" i="8" s="1"/>
  <c r="I10" i="8" s="1"/>
  <c r="L10" i="8" s="1"/>
  <c r="M10" i="8" s="1"/>
  <c r="G14" i="8"/>
  <c r="H14" i="8" s="1"/>
  <c r="I14" i="8" s="1"/>
  <c r="G7" i="8"/>
  <c r="H7" i="8" s="1"/>
  <c r="I7" i="8" s="1"/>
  <c r="L7" i="8" s="1"/>
  <c r="M7" i="8" s="1"/>
  <c r="G3" i="19"/>
  <c r="G8" i="19"/>
  <c r="G7" i="19"/>
  <c r="G15" i="19"/>
  <c r="G6" i="19"/>
  <c r="G13" i="19"/>
  <c r="O3" i="6"/>
  <c r="P3" i="6" s="1"/>
  <c r="T3" i="6" s="1"/>
  <c r="G12" i="19"/>
  <c r="I5" i="19"/>
  <c r="G13" i="8"/>
  <c r="H13" i="8" s="1"/>
  <c r="I13" i="8" s="1"/>
  <c r="G8" i="8"/>
  <c r="H8" i="8" s="1"/>
  <c r="I8" i="8" s="1"/>
  <c r="G4" i="8"/>
  <c r="H4" i="8" s="1"/>
  <c r="I4" i="8" s="1"/>
  <c r="D130" i="6"/>
  <c r="F130" i="6"/>
  <c r="E130" i="6"/>
  <c r="D15" i="6"/>
  <c r="F15" i="6"/>
  <c r="E15" i="6"/>
  <c r="D14" i="6"/>
  <c r="F14" i="6"/>
  <c r="E14" i="6"/>
  <c r="D13" i="6"/>
  <c r="F13" i="6"/>
  <c r="E13" i="6"/>
  <c r="D12" i="6"/>
  <c r="F12" i="6"/>
  <c r="E12" i="6"/>
  <c r="D11" i="6"/>
  <c r="F11" i="6"/>
  <c r="E11" i="6"/>
  <c r="D10" i="6"/>
  <c r="F10" i="6"/>
  <c r="E10" i="6"/>
  <c r="D8" i="6"/>
  <c r="F8" i="6"/>
  <c r="E8" i="6"/>
  <c r="D7" i="6"/>
  <c r="F7" i="6"/>
  <c r="E7" i="6"/>
  <c r="D6" i="6"/>
  <c r="F6" i="6"/>
  <c r="E6" i="6"/>
  <c r="D5" i="6"/>
  <c r="F5" i="6"/>
  <c r="E5" i="6"/>
  <c r="D4" i="6"/>
  <c r="F4" i="6"/>
  <c r="E4" i="6"/>
  <c r="D2" i="6"/>
  <c r="F2" i="6"/>
  <c r="E2" i="6"/>
  <c r="R6" i="8" l="1"/>
  <c r="R2" i="8"/>
  <c r="X13" i="8"/>
  <c r="R10" i="8"/>
  <c r="S10" i="8" s="1"/>
  <c r="X12" i="8"/>
  <c r="Y12" i="8" s="1"/>
  <c r="R7" i="8"/>
  <c r="S7" i="8" s="1"/>
  <c r="U5" i="8"/>
  <c r="AK3" i="6"/>
  <c r="Y11" i="19"/>
  <c r="Z10" i="19"/>
  <c r="AC10" i="19"/>
  <c r="S11" i="19"/>
  <c r="T10" i="19"/>
  <c r="AE10" i="19"/>
  <c r="AH11" i="19"/>
  <c r="AD11" i="19"/>
  <c r="AF11" i="19"/>
  <c r="AB11" i="19"/>
  <c r="V11" i="19"/>
  <c r="W10" i="19"/>
  <c r="AG10" i="19"/>
  <c r="H7" i="19"/>
  <c r="I7" i="19" s="1"/>
  <c r="L7" i="19" s="1"/>
  <c r="M7" i="19" s="1"/>
  <c r="U7" i="19"/>
  <c r="R7" i="19"/>
  <c r="X7" i="19"/>
  <c r="H13" i="19"/>
  <c r="I13" i="19" s="1"/>
  <c r="J13" i="19" s="1"/>
  <c r="R13" i="19"/>
  <c r="X13" i="19"/>
  <c r="U13" i="19"/>
  <c r="H15" i="19"/>
  <c r="I15" i="19" s="1"/>
  <c r="J15" i="19" s="1"/>
  <c r="O15" i="19" s="1"/>
  <c r="P15" i="19" s="1"/>
  <c r="X15" i="19"/>
  <c r="U15" i="19"/>
  <c r="R15" i="19"/>
  <c r="H8" i="19"/>
  <c r="I8" i="19" s="1"/>
  <c r="J8" i="19" s="1"/>
  <c r="R8" i="19"/>
  <c r="X8" i="19"/>
  <c r="U8" i="19"/>
  <c r="H6" i="19"/>
  <c r="I6" i="19" s="1"/>
  <c r="J6" i="19" s="1"/>
  <c r="R6" i="19"/>
  <c r="X6" i="19"/>
  <c r="U6" i="19"/>
  <c r="H12" i="19"/>
  <c r="I12" i="19" s="1"/>
  <c r="J12" i="19" s="1"/>
  <c r="X12" i="19"/>
  <c r="U12" i="19"/>
  <c r="R12" i="19"/>
  <c r="H3" i="19"/>
  <c r="I3" i="19" s="1"/>
  <c r="J3" i="19" s="1"/>
  <c r="R3" i="19"/>
  <c r="X3" i="19"/>
  <c r="U3" i="19"/>
  <c r="R11" i="8"/>
  <c r="U6" i="8"/>
  <c r="U12" i="8"/>
  <c r="R13" i="8"/>
  <c r="X4" i="8"/>
  <c r="X14" i="8"/>
  <c r="U10" i="8"/>
  <c r="X5" i="8"/>
  <c r="X15" i="8"/>
  <c r="U8" i="8"/>
  <c r="AD10" i="8"/>
  <c r="AF10" i="8"/>
  <c r="AB10" i="8"/>
  <c r="AH10" i="8"/>
  <c r="AH12" i="8"/>
  <c r="AB12" i="8"/>
  <c r="AF12" i="8"/>
  <c r="AD12" i="8"/>
  <c r="R15" i="8"/>
  <c r="U11" i="8"/>
  <c r="X6" i="8"/>
  <c r="R12" i="8"/>
  <c r="X8" i="8"/>
  <c r="R4" i="8"/>
  <c r="X7" i="8"/>
  <c r="R14" i="8"/>
  <c r="X10" i="8"/>
  <c r="X2" i="8"/>
  <c r="AH7" i="8"/>
  <c r="AB7" i="8"/>
  <c r="AD7" i="8"/>
  <c r="AF7" i="8"/>
  <c r="U15" i="8"/>
  <c r="X11" i="8"/>
  <c r="U13" i="8"/>
  <c r="R8" i="8"/>
  <c r="U4" i="8"/>
  <c r="U7" i="8"/>
  <c r="U14" i="8"/>
  <c r="R5" i="8"/>
  <c r="U2" i="8"/>
  <c r="AG3" i="6"/>
  <c r="AP3" i="6" s="1"/>
  <c r="AC3" i="6"/>
  <c r="AN3" i="6" s="1"/>
  <c r="AE3" i="6"/>
  <c r="AO3" i="6" s="1"/>
  <c r="AI3" i="6"/>
  <c r="AQ3" i="6" s="1"/>
  <c r="W3" i="6"/>
  <c r="AL3" i="6" s="1"/>
  <c r="Z3" i="6"/>
  <c r="AM3" i="6" s="1"/>
  <c r="G14" i="6"/>
  <c r="H14" i="6" s="1"/>
  <c r="I14" i="6" s="1"/>
  <c r="G130" i="6"/>
  <c r="H130" i="6" s="1"/>
  <c r="I130" i="6" s="1"/>
  <c r="J12" i="8"/>
  <c r="O12" i="8" s="1"/>
  <c r="P12" i="8" s="1"/>
  <c r="J7" i="8"/>
  <c r="O7" i="8" s="1"/>
  <c r="P7" i="8" s="1"/>
  <c r="J10" i="8"/>
  <c r="O10" i="8" s="1"/>
  <c r="P10" i="8" s="1"/>
  <c r="L2" i="19"/>
  <c r="M2" i="19" s="1"/>
  <c r="O2" i="19"/>
  <c r="P2" i="19" s="1"/>
  <c r="T2" i="19" s="1"/>
  <c r="J11" i="19"/>
  <c r="O11" i="19" s="1"/>
  <c r="P11" i="19" s="1"/>
  <c r="L10" i="19"/>
  <c r="M10" i="19" s="1"/>
  <c r="S10" i="19" s="1"/>
  <c r="L5" i="19"/>
  <c r="M5" i="19" s="1"/>
  <c r="V5" i="19" s="1"/>
  <c r="J5" i="19"/>
  <c r="L14" i="19"/>
  <c r="M14" i="19" s="1"/>
  <c r="S14" i="19" s="1"/>
  <c r="J14" i="19"/>
  <c r="J8" i="8"/>
  <c r="L8" i="8"/>
  <c r="M8" i="8" s="1"/>
  <c r="J4" i="8"/>
  <c r="L4" i="8"/>
  <c r="M4" i="8" s="1"/>
  <c r="L15" i="8"/>
  <c r="M15" i="8" s="1"/>
  <c r="J15" i="8"/>
  <c r="J6" i="8"/>
  <c r="L6" i="8"/>
  <c r="M6" i="8" s="1"/>
  <c r="L14" i="8"/>
  <c r="M14" i="8" s="1"/>
  <c r="J14" i="8"/>
  <c r="L5" i="8"/>
  <c r="M5" i="8" s="1"/>
  <c r="J5" i="8"/>
  <c r="L11" i="8"/>
  <c r="M11" i="8" s="1"/>
  <c r="J11" i="8"/>
  <c r="L2" i="8"/>
  <c r="M2" i="8" s="1"/>
  <c r="J2" i="8"/>
  <c r="J13" i="8"/>
  <c r="L13" i="8"/>
  <c r="M13" i="8" s="1"/>
  <c r="G12" i="6"/>
  <c r="H12" i="6" s="1"/>
  <c r="I12" i="6" s="1"/>
  <c r="G4" i="6"/>
  <c r="H4" i="6" s="1"/>
  <c r="I4" i="6" s="1"/>
  <c r="G6" i="6"/>
  <c r="H6" i="6" s="1"/>
  <c r="I6" i="6" s="1"/>
  <c r="G11" i="6"/>
  <c r="H11" i="6" s="1"/>
  <c r="I11" i="6" s="1"/>
  <c r="G13" i="6"/>
  <c r="H13" i="6" s="1"/>
  <c r="I13" i="6" s="1"/>
  <c r="G7" i="6"/>
  <c r="H7" i="6" s="1"/>
  <c r="I7" i="6" s="1"/>
  <c r="G8" i="6"/>
  <c r="H8" i="6" s="1"/>
  <c r="I8" i="6" s="1"/>
  <c r="G5" i="6"/>
  <c r="H5" i="6" s="1"/>
  <c r="I5" i="6" s="1"/>
  <c r="G2" i="6"/>
  <c r="H2" i="6" s="1"/>
  <c r="I2" i="6" s="1"/>
  <c r="G10" i="6"/>
  <c r="H10" i="6" s="1"/>
  <c r="I10" i="6" s="1"/>
  <c r="G15" i="6"/>
  <c r="H15" i="6" s="1"/>
  <c r="I15" i="6" s="1"/>
  <c r="L4" i="6" l="1"/>
  <c r="M4" i="6" s="1"/>
  <c r="L5" i="6"/>
  <c r="M5" i="6" s="1"/>
  <c r="AH5" i="6" s="1"/>
  <c r="L14" i="6"/>
  <c r="M14" i="6" s="1"/>
  <c r="AH14" i="6" s="1"/>
  <c r="L6" i="19"/>
  <c r="M6" i="19" s="1"/>
  <c r="AB6" i="19" s="1"/>
  <c r="L12" i="19"/>
  <c r="M12" i="19" s="1"/>
  <c r="AB12" i="19" s="1"/>
  <c r="L15" i="19"/>
  <c r="M15" i="19" s="1"/>
  <c r="AF15" i="19" s="1"/>
  <c r="L8" i="19"/>
  <c r="M8" i="19" s="1"/>
  <c r="AH8" i="19" s="1"/>
  <c r="AK10" i="19"/>
  <c r="J7" i="19"/>
  <c r="O7" i="19" s="1"/>
  <c r="P7" i="19" s="1"/>
  <c r="Z7" i="19" s="1"/>
  <c r="L13" i="19"/>
  <c r="M13" i="19" s="1"/>
  <c r="Y13" i="19" s="1"/>
  <c r="T7" i="8"/>
  <c r="AK7" i="8" s="1"/>
  <c r="Z12" i="8"/>
  <c r="R4" i="6"/>
  <c r="S4" i="6" s="1"/>
  <c r="R14" i="6"/>
  <c r="S14" i="6" s="1"/>
  <c r="R8" i="6"/>
  <c r="R130" i="6"/>
  <c r="R15" i="6"/>
  <c r="R2" i="6"/>
  <c r="R10" i="6"/>
  <c r="R11" i="6"/>
  <c r="R12" i="6"/>
  <c r="R5" i="6"/>
  <c r="R13" i="6"/>
  <c r="R6" i="6"/>
  <c r="R7" i="6"/>
  <c r="AI11" i="19"/>
  <c r="AQ11" i="19" s="1"/>
  <c r="AG11" i="19"/>
  <c r="AP11" i="19" s="1"/>
  <c r="AE11" i="19"/>
  <c r="AO11" i="19" s="1"/>
  <c r="AC11" i="19"/>
  <c r="AN11" i="19" s="1"/>
  <c r="AH2" i="19"/>
  <c r="AF2" i="19"/>
  <c r="AD2" i="19"/>
  <c r="AB2" i="19"/>
  <c r="AD7" i="19"/>
  <c r="AB7" i="19"/>
  <c r="AH7" i="19"/>
  <c r="AF7" i="19"/>
  <c r="Y2" i="19"/>
  <c r="V10" i="19"/>
  <c r="AL10" i="19" s="1"/>
  <c r="Y5" i="19"/>
  <c r="Y14" i="19"/>
  <c r="S15" i="19"/>
  <c r="T15" i="19"/>
  <c r="Y7" i="19"/>
  <c r="Z2" i="19"/>
  <c r="W11" i="19"/>
  <c r="AL11" i="19" s="1"/>
  <c r="V2" i="19"/>
  <c r="AH10" i="19"/>
  <c r="AQ10" i="19" s="1"/>
  <c r="AD10" i="19"/>
  <c r="AO10" i="19" s="1"/>
  <c r="AF10" i="19"/>
  <c r="AP10" i="19" s="1"/>
  <c r="AB10" i="19"/>
  <c r="AN10" i="19" s="1"/>
  <c r="AB15" i="19"/>
  <c r="W15" i="19"/>
  <c r="S7" i="19"/>
  <c r="W2" i="19"/>
  <c r="T11" i="19"/>
  <c r="AK11" i="19" s="1"/>
  <c r="Y10" i="19"/>
  <c r="AM10" i="19" s="1"/>
  <c r="AD14" i="19"/>
  <c r="AB14" i="19"/>
  <c r="AH14" i="19"/>
  <c r="AF14" i="19"/>
  <c r="AH5" i="19"/>
  <c r="AD5" i="19"/>
  <c r="AF5" i="19"/>
  <c r="AB5" i="19"/>
  <c r="AE15" i="19"/>
  <c r="AG15" i="19"/>
  <c r="AC15" i="19"/>
  <c r="AI15" i="19"/>
  <c r="AC2" i="19"/>
  <c r="AI2" i="19"/>
  <c r="AG2" i="19"/>
  <c r="AE2" i="19"/>
  <c r="Y15" i="19"/>
  <c r="Z15" i="19"/>
  <c r="V7" i="19"/>
  <c r="S5" i="19"/>
  <c r="V14" i="19"/>
  <c r="S2" i="19"/>
  <c r="AK2" i="19" s="1"/>
  <c r="Z11" i="19"/>
  <c r="AM11" i="19" s="1"/>
  <c r="L3" i="19"/>
  <c r="M3" i="19" s="1"/>
  <c r="V3" i="19" s="1"/>
  <c r="Y8" i="8"/>
  <c r="V10" i="8"/>
  <c r="W10" i="8"/>
  <c r="AD13" i="8"/>
  <c r="AH13" i="8"/>
  <c r="AB13" i="8"/>
  <c r="AF13" i="8"/>
  <c r="AF6" i="8"/>
  <c r="AB6" i="8"/>
  <c r="AD6" i="8"/>
  <c r="AH6" i="8"/>
  <c r="AH4" i="8"/>
  <c r="AB4" i="8"/>
  <c r="AF4" i="8"/>
  <c r="AD4" i="8"/>
  <c r="V4" i="8"/>
  <c r="Y2" i="8"/>
  <c r="Z7" i="8"/>
  <c r="Y7" i="8"/>
  <c r="T12" i="8"/>
  <c r="S12" i="8"/>
  <c r="S15" i="8"/>
  <c r="Y13" i="8"/>
  <c r="Y15" i="8"/>
  <c r="Y14" i="8"/>
  <c r="S13" i="8"/>
  <c r="V6" i="8"/>
  <c r="AM12" i="8"/>
  <c r="AF11" i="8"/>
  <c r="AH11" i="8"/>
  <c r="AD11" i="8"/>
  <c r="AB11" i="8"/>
  <c r="AH15" i="8"/>
  <c r="AD15" i="8"/>
  <c r="AF15" i="8"/>
  <c r="AB15" i="8"/>
  <c r="AI10" i="8"/>
  <c r="AQ10" i="8" s="1"/>
  <c r="AE10" i="8"/>
  <c r="AO10" i="8" s="1"/>
  <c r="AG10" i="8"/>
  <c r="AP10" i="8" s="1"/>
  <c r="AC10" i="8"/>
  <c r="AN10" i="8" s="1"/>
  <c r="Y4" i="8"/>
  <c r="AD5" i="8"/>
  <c r="AH5" i="8"/>
  <c r="AF5" i="8"/>
  <c r="AB5" i="8"/>
  <c r="V2" i="8"/>
  <c r="S8" i="8"/>
  <c r="Y11" i="8"/>
  <c r="Z10" i="8"/>
  <c r="Y10" i="8"/>
  <c r="V12" i="8"/>
  <c r="W12" i="8"/>
  <c r="S11" i="8"/>
  <c r="V5" i="8"/>
  <c r="AH2" i="8"/>
  <c r="AB2" i="8"/>
  <c r="AD2" i="8"/>
  <c r="AF2" i="8"/>
  <c r="AE12" i="8"/>
  <c r="AO12" i="8" s="1"/>
  <c r="AI12" i="8"/>
  <c r="AQ12" i="8" s="1"/>
  <c r="AG12" i="8"/>
  <c r="AP12" i="8" s="1"/>
  <c r="AC12" i="8"/>
  <c r="AN12" i="8" s="1"/>
  <c r="V14" i="8"/>
  <c r="V11" i="8"/>
  <c r="AC7" i="8"/>
  <c r="AN7" i="8" s="1"/>
  <c r="AE7" i="8"/>
  <c r="AO7" i="8" s="1"/>
  <c r="AG7" i="8"/>
  <c r="AP7" i="8" s="1"/>
  <c r="AI7" i="8"/>
  <c r="AQ7" i="8" s="1"/>
  <c r="AF14" i="8"/>
  <c r="AB14" i="8"/>
  <c r="AD14" i="8"/>
  <c r="AH14" i="8"/>
  <c r="AH8" i="8"/>
  <c r="AD8" i="8"/>
  <c r="AF8" i="8"/>
  <c r="AB8" i="8"/>
  <c r="S5" i="8"/>
  <c r="V7" i="8"/>
  <c r="W7" i="8"/>
  <c r="V13" i="8"/>
  <c r="V15" i="8"/>
  <c r="S14" i="8"/>
  <c r="S4" i="8"/>
  <c r="Y6" i="8"/>
  <c r="V8" i="8"/>
  <c r="Y5" i="8"/>
  <c r="S2" i="8"/>
  <c r="T10" i="8"/>
  <c r="AK10" i="8" s="1"/>
  <c r="S6" i="8"/>
  <c r="AB14" i="6"/>
  <c r="X7" i="6"/>
  <c r="X5" i="6"/>
  <c r="U8" i="6"/>
  <c r="U15" i="6"/>
  <c r="U6" i="6"/>
  <c r="U14" i="6"/>
  <c r="AF5" i="6"/>
  <c r="AB5" i="6"/>
  <c r="AD5" i="6"/>
  <c r="AH4" i="6"/>
  <c r="AF4" i="6"/>
  <c r="AD4" i="6"/>
  <c r="AB4" i="6"/>
  <c r="U12" i="6"/>
  <c r="U2" i="6"/>
  <c r="X8" i="6"/>
  <c r="U130" i="6"/>
  <c r="X15" i="6"/>
  <c r="X6" i="6"/>
  <c r="X14" i="6"/>
  <c r="X12" i="6"/>
  <c r="X2" i="6"/>
  <c r="U13" i="6"/>
  <c r="U4" i="6"/>
  <c r="X130" i="6"/>
  <c r="U11" i="6"/>
  <c r="U10" i="6"/>
  <c r="U7" i="6"/>
  <c r="U5" i="6"/>
  <c r="X13" i="6"/>
  <c r="X4" i="6"/>
  <c r="X11" i="6"/>
  <c r="X10" i="6"/>
  <c r="O3" i="19"/>
  <c r="P3" i="19" s="1"/>
  <c r="O14" i="19"/>
  <c r="P14" i="19" s="1"/>
  <c r="O5" i="19"/>
  <c r="P5" i="19" s="1"/>
  <c r="O6" i="19"/>
  <c r="P6" i="19" s="1"/>
  <c r="T6" i="19" s="1"/>
  <c r="O8" i="19"/>
  <c r="P8" i="19" s="1"/>
  <c r="O13" i="19"/>
  <c r="P13" i="19" s="1"/>
  <c r="W13" i="19" s="1"/>
  <c r="O12" i="19"/>
  <c r="P12" i="19" s="1"/>
  <c r="T12" i="19" s="1"/>
  <c r="O13" i="8"/>
  <c r="P13" i="8" s="1"/>
  <c r="T13" i="8" s="1"/>
  <c r="O14" i="8"/>
  <c r="P14" i="8" s="1"/>
  <c r="T14" i="8" s="1"/>
  <c r="O5" i="8"/>
  <c r="P5" i="8" s="1"/>
  <c r="Z5" i="8" s="1"/>
  <c r="O4" i="8"/>
  <c r="P4" i="8" s="1"/>
  <c r="W4" i="8" s="1"/>
  <c r="O11" i="8"/>
  <c r="P11" i="8" s="1"/>
  <c r="O6" i="8"/>
  <c r="P6" i="8" s="1"/>
  <c r="W6" i="8" s="1"/>
  <c r="O2" i="8"/>
  <c r="P2" i="8" s="1"/>
  <c r="O15" i="8"/>
  <c r="P15" i="8" s="1"/>
  <c r="O8" i="8"/>
  <c r="P8" i="8" s="1"/>
  <c r="J130" i="6"/>
  <c r="L130" i="6"/>
  <c r="M130" i="6" s="1"/>
  <c r="J14" i="6"/>
  <c r="J5" i="6"/>
  <c r="J4" i="6"/>
  <c r="L7" i="6"/>
  <c r="M7" i="6" s="1"/>
  <c r="J7" i="6"/>
  <c r="L13" i="6"/>
  <c r="M13" i="6" s="1"/>
  <c r="J13" i="6"/>
  <c r="L10" i="6"/>
  <c r="M10" i="6" s="1"/>
  <c r="J10" i="6"/>
  <c r="L2" i="6"/>
  <c r="M2" i="6" s="1"/>
  <c r="J2" i="6"/>
  <c r="J15" i="6"/>
  <c r="L15" i="6"/>
  <c r="M15" i="6" s="1"/>
  <c r="J8" i="6"/>
  <c r="L8" i="6"/>
  <c r="M8" i="6" s="1"/>
  <c r="J11" i="6"/>
  <c r="L11" i="6"/>
  <c r="M11" i="6" s="1"/>
  <c r="J12" i="6"/>
  <c r="L12" i="6"/>
  <c r="M12" i="6" s="1"/>
  <c r="J6" i="6"/>
  <c r="L6" i="6"/>
  <c r="M6" i="6" s="1"/>
  <c r="V15" i="19" l="1"/>
  <c r="AP2" i="19"/>
  <c r="AH15" i="19"/>
  <c r="AQ15" i="19" s="1"/>
  <c r="Y6" i="19"/>
  <c r="AD15" i="19"/>
  <c r="AO15" i="19" s="1"/>
  <c r="AD6" i="19"/>
  <c r="S6" i="19"/>
  <c r="AK6" i="19" s="1"/>
  <c r="AD14" i="6"/>
  <c r="AF14" i="6"/>
  <c r="O13" i="6"/>
  <c r="P13" i="6" s="1"/>
  <c r="T13" i="6" s="1"/>
  <c r="O4" i="6"/>
  <c r="P4" i="6" s="1"/>
  <c r="AI4" i="6" s="1"/>
  <c r="AQ4" i="6" s="1"/>
  <c r="O5" i="6"/>
  <c r="P5" i="6" s="1"/>
  <c r="T5" i="6" s="1"/>
  <c r="O7" i="6"/>
  <c r="P7" i="6" s="1"/>
  <c r="O14" i="6"/>
  <c r="P14" i="6" s="1"/>
  <c r="AC14" i="6" s="1"/>
  <c r="AN14" i="6" s="1"/>
  <c r="AF6" i="19"/>
  <c r="V6" i="19"/>
  <c r="AH6" i="19"/>
  <c r="S12" i="19"/>
  <c r="AK12" i="19" s="1"/>
  <c r="AF12" i="19"/>
  <c r="AM10" i="8"/>
  <c r="AD12" i="19"/>
  <c r="Y12" i="19"/>
  <c r="V12" i="19"/>
  <c r="AH12" i="19"/>
  <c r="AH13" i="19"/>
  <c r="AB8" i="19"/>
  <c r="S8" i="19"/>
  <c r="AC7" i="19"/>
  <c r="AN7" i="19" s="1"/>
  <c r="AI7" i="19"/>
  <c r="AQ7" i="19" s="1"/>
  <c r="AG7" i="19"/>
  <c r="AP7" i="19" s="1"/>
  <c r="W7" i="19"/>
  <c r="AL7" i="19" s="1"/>
  <c r="AE7" i="19"/>
  <c r="AO7" i="19" s="1"/>
  <c r="T7" i="19"/>
  <c r="AK7" i="19" s="1"/>
  <c r="S13" i="19"/>
  <c r="AF13" i="19"/>
  <c r="V13" i="19"/>
  <c r="AL13" i="19" s="1"/>
  <c r="AF8" i="19"/>
  <c r="V8" i="19"/>
  <c r="AB13" i="19"/>
  <c r="Y8" i="19"/>
  <c r="AD8" i="19"/>
  <c r="AD13" i="19"/>
  <c r="T13" i="19"/>
  <c r="AL2" i="19"/>
  <c r="AM15" i="19"/>
  <c r="T4" i="8"/>
  <c r="AK4" i="8" s="1"/>
  <c r="AM7" i="8"/>
  <c r="T5" i="8"/>
  <c r="AK5" i="8" s="1"/>
  <c r="Z14" i="8"/>
  <c r="AM14" i="8" s="1"/>
  <c r="AK12" i="8"/>
  <c r="T14" i="6"/>
  <c r="AK14" i="6" s="1"/>
  <c r="S6" i="6"/>
  <c r="S5" i="6"/>
  <c r="S15" i="6"/>
  <c r="S130" i="6"/>
  <c r="S10" i="6"/>
  <c r="S12" i="6"/>
  <c r="S2" i="6"/>
  <c r="S8" i="6"/>
  <c r="S7" i="6"/>
  <c r="S13" i="6"/>
  <c r="S11" i="6"/>
  <c r="AC8" i="19"/>
  <c r="AG8" i="19"/>
  <c r="AE8" i="19"/>
  <c r="AI8" i="19"/>
  <c r="AQ8" i="19" s="1"/>
  <c r="AI5" i="19"/>
  <c r="AQ5" i="19" s="1"/>
  <c r="AG5" i="19"/>
  <c r="AP5" i="19" s="1"/>
  <c r="AE5" i="19"/>
  <c r="AO5" i="19" s="1"/>
  <c r="AC5" i="19"/>
  <c r="AN5" i="19" s="1"/>
  <c r="Z5" i="19"/>
  <c r="AM5" i="19" s="1"/>
  <c r="T5" i="19"/>
  <c r="AK5" i="19" s="1"/>
  <c r="W5" i="19"/>
  <c r="AL5" i="19" s="1"/>
  <c r="AG3" i="19"/>
  <c r="AE3" i="19"/>
  <c r="AC3" i="19"/>
  <c r="AI3" i="19"/>
  <c r="W12" i="19"/>
  <c r="Z13" i="19"/>
  <c r="AM13" i="19" s="1"/>
  <c r="AN15" i="19"/>
  <c r="AK15" i="19"/>
  <c r="Z8" i="19"/>
  <c r="T3" i="19"/>
  <c r="AQ2" i="19"/>
  <c r="AI6" i="19"/>
  <c r="AE6" i="19"/>
  <c r="AC6" i="19"/>
  <c r="AN6" i="19" s="1"/>
  <c r="AG6" i="19"/>
  <c r="AE14" i="19"/>
  <c r="AO14" i="19" s="1"/>
  <c r="AG14" i="19"/>
  <c r="AP14" i="19" s="1"/>
  <c r="AC14" i="19"/>
  <c r="AN14" i="19" s="1"/>
  <c r="AI14" i="19"/>
  <c r="AQ14" i="19" s="1"/>
  <c r="Z14" i="19"/>
  <c r="AM14" i="19" s="1"/>
  <c r="W14" i="19"/>
  <c r="AL14" i="19" s="1"/>
  <c r="T14" i="19"/>
  <c r="AK14" i="19" s="1"/>
  <c r="AB3" i="19"/>
  <c r="AD3" i="19"/>
  <c r="AH3" i="19"/>
  <c r="AF3" i="19"/>
  <c r="Z6" i="19"/>
  <c r="Z3" i="19"/>
  <c r="AP15" i="19"/>
  <c r="AN2" i="19"/>
  <c r="AC12" i="19"/>
  <c r="AN12" i="19" s="1"/>
  <c r="AI12" i="19"/>
  <c r="AG12" i="19"/>
  <c r="AE12" i="19"/>
  <c r="Y3" i="19"/>
  <c r="AL15" i="19"/>
  <c r="T8" i="19"/>
  <c r="W8" i="19"/>
  <c r="Z12" i="19"/>
  <c r="AO2" i="19"/>
  <c r="AG13" i="19"/>
  <c r="AC13" i="19"/>
  <c r="AI13" i="19"/>
  <c r="AE13" i="19"/>
  <c r="W6" i="19"/>
  <c r="W3" i="19"/>
  <c r="AL3" i="19" s="1"/>
  <c r="AM7" i="19"/>
  <c r="AM2" i="19"/>
  <c r="S3" i="19"/>
  <c r="AG8" i="8"/>
  <c r="AP8" i="8" s="1"/>
  <c r="AI8" i="8"/>
  <c r="AQ8" i="8" s="1"/>
  <c r="AE8" i="8"/>
  <c r="AO8" i="8" s="1"/>
  <c r="AC8" i="8"/>
  <c r="AN8" i="8" s="1"/>
  <c r="Z8" i="8"/>
  <c r="AM8" i="8" s="1"/>
  <c r="AG15" i="8"/>
  <c r="AP15" i="8" s="1"/>
  <c r="AC15" i="8"/>
  <c r="AN15" i="8" s="1"/>
  <c r="AI15" i="8"/>
  <c r="AQ15" i="8" s="1"/>
  <c r="AE15" i="8"/>
  <c r="AO15" i="8" s="1"/>
  <c r="AE2" i="8"/>
  <c r="AO2" i="8" s="1"/>
  <c r="AG2" i="8"/>
  <c r="AP2" i="8" s="1"/>
  <c r="AI2" i="8"/>
  <c r="AQ2" i="8" s="1"/>
  <c r="AC2" i="8"/>
  <c r="AN2" i="8" s="1"/>
  <c r="T2" i="8"/>
  <c r="AK2" i="8" s="1"/>
  <c r="AG5" i="8"/>
  <c r="AP5" i="8" s="1"/>
  <c r="AC5" i="8"/>
  <c r="AN5" i="8" s="1"/>
  <c r="AE5" i="8"/>
  <c r="AO5" i="8" s="1"/>
  <c r="AI5" i="8"/>
  <c r="AQ5" i="8" s="1"/>
  <c r="W5" i="8"/>
  <c r="AL5" i="8" s="1"/>
  <c r="W15" i="8"/>
  <c r="AL15" i="8" s="1"/>
  <c r="AL12" i="8"/>
  <c r="W2" i="8"/>
  <c r="AL2" i="8" s="1"/>
  <c r="Z4" i="8"/>
  <c r="AM4" i="8" s="1"/>
  <c r="Z15" i="8"/>
  <c r="AM15" i="8" s="1"/>
  <c r="Z2" i="8"/>
  <c r="AM2" i="8" s="1"/>
  <c r="AL4" i="8"/>
  <c r="AI6" i="8"/>
  <c r="AQ6" i="8" s="1"/>
  <c r="AE6" i="8"/>
  <c r="AO6" i="8" s="1"/>
  <c r="AC6" i="8"/>
  <c r="AN6" i="8" s="1"/>
  <c r="AG6" i="8"/>
  <c r="AP6" i="8" s="1"/>
  <c r="T6" i="8"/>
  <c r="AK6" i="8" s="1"/>
  <c r="AE13" i="8"/>
  <c r="AO13" i="8" s="1"/>
  <c r="AC13" i="8"/>
  <c r="AN13" i="8" s="1"/>
  <c r="AG13" i="8"/>
  <c r="AP13" i="8" s="1"/>
  <c r="AI13" i="8"/>
  <c r="AQ13" i="8" s="1"/>
  <c r="Z13" i="8"/>
  <c r="AM13" i="8" s="1"/>
  <c r="W13" i="8"/>
  <c r="AL13" i="8" s="1"/>
  <c r="AE11" i="8"/>
  <c r="AO11" i="8" s="1"/>
  <c r="AI11" i="8"/>
  <c r="AQ11" i="8" s="1"/>
  <c r="AC11" i="8"/>
  <c r="AN11" i="8" s="1"/>
  <c r="AG11" i="8"/>
  <c r="AP11" i="8" s="1"/>
  <c r="W8" i="8"/>
  <c r="AL8" i="8" s="1"/>
  <c r="Z6" i="8"/>
  <c r="AM6" i="8" s="1"/>
  <c r="AL7" i="8"/>
  <c r="W11" i="8"/>
  <c r="AL11" i="8" s="1"/>
  <c r="T11" i="8"/>
  <c r="AK11" i="8" s="1"/>
  <c r="T8" i="8"/>
  <c r="AK8" i="8" s="1"/>
  <c r="AK13" i="8"/>
  <c r="T15" i="8"/>
  <c r="AK15" i="8" s="1"/>
  <c r="AL10" i="8"/>
  <c r="AG4" i="8"/>
  <c r="AP4" i="8" s="1"/>
  <c r="AE4" i="8"/>
  <c r="AO4" i="8" s="1"/>
  <c r="AI4" i="8"/>
  <c r="AQ4" i="8" s="1"/>
  <c r="AC4" i="8"/>
  <c r="AN4" i="8" s="1"/>
  <c r="AI14" i="8"/>
  <c r="AQ14" i="8" s="1"/>
  <c r="AG14" i="8"/>
  <c r="AP14" i="8" s="1"/>
  <c r="AC14" i="8"/>
  <c r="AN14" i="8" s="1"/>
  <c r="AE14" i="8"/>
  <c r="AO14" i="8" s="1"/>
  <c r="AM5" i="8"/>
  <c r="AK14" i="8"/>
  <c r="W14" i="8"/>
  <c r="AL14" i="8" s="1"/>
  <c r="Z11" i="8"/>
  <c r="AM11" i="8" s="1"/>
  <c r="AL6" i="8"/>
  <c r="AB6" i="6"/>
  <c r="AD6" i="6"/>
  <c r="AH6" i="6"/>
  <c r="AF6" i="6"/>
  <c r="AB2" i="6"/>
  <c r="AH2" i="6"/>
  <c r="AD2" i="6"/>
  <c r="AF2" i="6"/>
  <c r="AF130" i="6"/>
  <c r="AB130" i="6"/>
  <c r="AD130" i="6"/>
  <c r="AH130" i="6"/>
  <c r="Y4" i="6"/>
  <c r="V5" i="6"/>
  <c r="Y2" i="6"/>
  <c r="Y14" i="6"/>
  <c r="V8" i="6"/>
  <c r="AB15" i="6"/>
  <c r="AD15" i="6"/>
  <c r="AH15" i="6"/>
  <c r="AF15" i="6"/>
  <c r="AH13" i="6"/>
  <c r="AF13" i="6"/>
  <c r="AD13" i="6"/>
  <c r="AB13" i="6"/>
  <c r="Y13" i="6"/>
  <c r="W7" i="6"/>
  <c r="V7" i="6"/>
  <c r="V11" i="6"/>
  <c r="Y8" i="6"/>
  <c r="V12" i="6"/>
  <c r="V14" i="6"/>
  <c r="Y7" i="6"/>
  <c r="AH10" i="6"/>
  <c r="AD10" i="6"/>
  <c r="AB10" i="6"/>
  <c r="AF10" i="6"/>
  <c r="AG7" i="6"/>
  <c r="AI7" i="6"/>
  <c r="Y11" i="6"/>
  <c r="V10" i="6"/>
  <c r="Y130" i="6"/>
  <c r="V4" i="6"/>
  <c r="Y6" i="6"/>
  <c r="V2" i="6"/>
  <c r="V6" i="6"/>
  <c r="AF12" i="6"/>
  <c r="AB12" i="6"/>
  <c r="AH12" i="6"/>
  <c r="AD12" i="6"/>
  <c r="AD11" i="6"/>
  <c r="AB11" i="6"/>
  <c r="AF11" i="6"/>
  <c r="AH11" i="6"/>
  <c r="AF8" i="6"/>
  <c r="AH8" i="6"/>
  <c r="AB8" i="6"/>
  <c r="AD8" i="6"/>
  <c r="AG13" i="6"/>
  <c r="AH7" i="6"/>
  <c r="AD7" i="6"/>
  <c r="AF7" i="6"/>
  <c r="AB7" i="6"/>
  <c r="Y10" i="6"/>
  <c r="V13" i="6"/>
  <c r="Y12" i="6"/>
  <c r="Y15" i="6"/>
  <c r="V130" i="6"/>
  <c r="V15" i="6"/>
  <c r="Y5" i="6"/>
  <c r="O130" i="6"/>
  <c r="P130" i="6" s="1"/>
  <c r="Z130" i="6" s="1"/>
  <c r="O8" i="6"/>
  <c r="P8" i="6" s="1"/>
  <c r="Z8" i="6" s="1"/>
  <c r="O2" i="6"/>
  <c r="P2" i="6" s="1"/>
  <c r="Z2" i="6" s="1"/>
  <c r="O12" i="6"/>
  <c r="P12" i="6" s="1"/>
  <c r="W12" i="6" s="1"/>
  <c r="O11" i="6"/>
  <c r="P11" i="6" s="1"/>
  <c r="Z11" i="6" s="1"/>
  <c r="O6" i="6"/>
  <c r="P6" i="6" s="1"/>
  <c r="Z6" i="6" s="1"/>
  <c r="O15" i="6"/>
  <c r="P15" i="6" s="1"/>
  <c r="T15" i="6" s="1"/>
  <c r="O10" i="6"/>
  <c r="P10" i="6" s="1"/>
  <c r="T10" i="6" s="1"/>
  <c r="AQ6" i="19" l="1"/>
  <c r="AM6" i="19"/>
  <c r="AP13" i="19"/>
  <c r="AP6" i="19"/>
  <c r="AP12" i="19"/>
  <c r="AO6" i="19"/>
  <c r="AL12" i="19"/>
  <c r="AL6" i="19"/>
  <c r="AE5" i="6"/>
  <c r="AO5" i="6" s="1"/>
  <c r="T4" i="6"/>
  <c r="AK4" i="6" s="1"/>
  <c r="W4" i="6"/>
  <c r="AC4" i="6"/>
  <c r="AN4" i="6" s="1"/>
  <c r="AE4" i="6"/>
  <c r="AO4" i="6" s="1"/>
  <c r="AG4" i="6"/>
  <c r="AP4" i="6" s="1"/>
  <c r="AE14" i="6"/>
  <c r="AO14" i="6" s="1"/>
  <c r="AE13" i="6"/>
  <c r="AO13" i="6" s="1"/>
  <c r="AC7" i="6"/>
  <c r="AN7" i="6" s="1"/>
  <c r="Z7" i="6"/>
  <c r="AM7" i="6" s="1"/>
  <c r="Z14" i="6"/>
  <c r="AM14" i="6" s="1"/>
  <c r="T7" i="6"/>
  <c r="AK7" i="6" s="1"/>
  <c r="AG14" i="6"/>
  <c r="AP14" i="6" s="1"/>
  <c r="AC13" i="6"/>
  <c r="AN13" i="6" s="1"/>
  <c r="W13" i="6"/>
  <c r="AL13" i="6" s="1"/>
  <c r="AI14" i="6"/>
  <c r="AQ14" i="6" s="1"/>
  <c r="AI13" i="6"/>
  <c r="AQ13" i="6" s="1"/>
  <c r="AE7" i="6"/>
  <c r="W14" i="6"/>
  <c r="Z13" i="6"/>
  <c r="AM13" i="6" s="1"/>
  <c r="AI5" i="6"/>
  <c r="AQ5" i="6" s="1"/>
  <c r="W5" i="6"/>
  <c r="AL5" i="6" s="1"/>
  <c r="Z5" i="6"/>
  <c r="AG5" i="6"/>
  <c r="AP5" i="6" s="1"/>
  <c r="AC5" i="6"/>
  <c r="AN5" i="6" s="1"/>
  <c r="Z4" i="6"/>
  <c r="AM4" i="6" s="1"/>
  <c r="AM12" i="19"/>
  <c r="AO12" i="19"/>
  <c r="AM8" i="19"/>
  <c r="AO7" i="6"/>
  <c r="AP13" i="6"/>
  <c r="AP8" i="19"/>
  <c r="AN13" i="19"/>
  <c r="AQ12" i="19"/>
  <c r="AN8" i="19"/>
  <c r="AQ13" i="19"/>
  <c r="AO13" i="19"/>
  <c r="AK8" i="19"/>
  <c r="AK13" i="19"/>
  <c r="AL8" i="19"/>
  <c r="AO8" i="19"/>
  <c r="AO3" i="19"/>
  <c r="AN3" i="19"/>
  <c r="AM130" i="6"/>
  <c r="AQ7" i="6"/>
  <c r="AL4" i="6"/>
  <c r="T2" i="6"/>
  <c r="AK2" i="6" s="1"/>
  <c r="AK5" i="6"/>
  <c r="T130" i="6"/>
  <c r="AK130" i="6" s="1"/>
  <c r="AM5" i="6"/>
  <c r="AL7" i="6"/>
  <c r="T12" i="6"/>
  <c r="AK12" i="6" s="1"/>
  <c r="AL14" i="6"/>
  <c r="AK13" i="6"/>
  <c r="T8" i="6"/>
  <c r="AK8" i="6" s="1"/>
  <c r="AK10" i="6"/>
  <c r="AK15" i="6"/>
  <c r="W130" i="6"/>
  <c r="AL130" i="6" s="1"/>
  <c r="T11" i="6"/>
  <c r="AK11" i="6" s="1"/>
  <c r="T6" i="6"/>
  <c r="AK6" i="6" s="1"/>
  <c r="AP3" i="19"/>
  <c r="AQ3" i="19"/>
  <c r="AK3" i="19"/>
  <c r="AM3" i="19"/>
  <c r="AC10" i="6"/>
  <c r="AN10" i="6" s="1"/>
  <c r="AI10" i="6"/>
  <c r="AQ10" i="6" s="1"/>
  <c r="AE10" i="6"/>
  <c r="AO10" i="6" s="1"/>
  <c r="AG10" i="6"/>
  <c r="AP10" i="6" s="1"/>
  <c r="AE15" i="6"/>
  <c r="AO15" i="6" s="1"/>
  <c r="AC15" i="6"/>
  <c r="AN15" i="6" s="1"/>
  <c r="AI15" i="6"/>
  <c r="AQ15" i="6" s="1"/>
  <c r="AG15" i="6"/>
  <c r="AP15" i="6" s="1"/>
  <c r="Z10" i="6"/>
  <c r="AM10" i="6" s="1"/>
  <c r="W6" i="6"/>
  <c r="AL6" i="6" s="1"/>
  <c r="W10" i="6"/>
  <c r="AL10" i="6" s="1"/>
  <c r="AM2" i="6"/>
  <c r="AI12" i="6"/>
  <c r="AQ12" i="6" s="1"/>
  <c r="AG12" i="6"/>
  <c r="AP12" i="6" s="1"/>
  <c r="AE12" i="6"/>
  <c r="AO12" i="6" s="1"/>
  <c r="AC12" i="6"/>
  <c r="AN12" i="6" s="1"/>
  <c r="Z12" i="6"/>
  <c r="AM12" i="6" s="1"/>
  <c r="W2" i="6"/>
  <c r="AL2" i="6" s="1"/>
  <c r="AM6" i="6"/>
  <c r="AM11" i="6"/>
  <c r="AM8" i="6"/>
  <c r="W8" i="6"/>
  <c r="AL8" i="6" s="1"/>
  <c r="AC2" i="6"/>
  <c r="AN2" i="6" s="1"/>
  <c r="AI2" i="6"/>
  <c r="AQ2" i="6" s="1"/>
  <c r="AE2" i="6"/>
  <c r="AO2" i="6" s="1"/>
  <c r="AG2" i="6"/>
  <c r="AP2" i="6" s="1"/>
  <c r="W15" i="6"/>
  <c r="AL15" i="6" s="1"/>
  <c r="Z15" i="6"/>
  <c r="AM15" i="6" s="1"/>
  <c r="AE6" i="6"/>
  <c r="AO6" i="6" s="1"/>
  <c r="AC6" i="6"/>
  <c r="AN6" i="6" s="1"/>
  <c r="AI6" i="6"/>
  <c r="AQ6" i="6" s="1"/>
  <c r="AG6" i="6"/>
  <c r="AP6" i="6" s="1"/>
  <c r="AG11" i="6"/>
  <c r="AP11" i="6" s="1"/>
  <c r="AI11" i="6"/>
  <c r="AQ11" i="6" s="1"/>
  <c r="AC11" i="6"/>
  <c r="AN11" i="6" s="1"/>
  <c r="AE11" i="6"/>
  <c r="AO11" i="6" s="1"/>
  <c r="AC8" i="6"/>
  <c r="AN8" i="6" s="1"/>
  <c r="AE8" i="6"/>
  <c r="AO8" i="6" s="1"/>
  <c r="AI8" i="6"/>
  <c r="AQ8" i="6" s="1"/>
  <c r="AG8" i="6"/>
  <c r="AP8" i="6" s="1"/>
  <c r="AI130" i="6"/>
  <c r="AQ130" i="6" s="1"/>
  <c r="AG130" i="6"/>
  <c r="AP130" i="6" s="1"/>
  <c r="AC130" i="6"/>
  <c r="AN130" i="6" s="1"/>
  <c r="AE130" i="6"/>
  <c r="AO130" i="6" s="1"/>
  <c r="AP7" i="6"/>
  <c r="AL12" i="6"/>
  <c r="W11" i="6"/>
  <c r="AL11" i="6" s="1"/>
  <c r="J100" i="8"/>
  <c r="D100" i="8"/>
  <c r="L100" i="8"/>
  <c r="M100" i="8" s="1"/>
  <c r="J82" i="8"/>
  <c r="D82" i="8"/>
  <c r="L82" i="8"/>
  <c r="M82" i="8" s="1"/>
  <c r="J65" i="8"/>
  <c r="D65" i="8"/>
  <c r="L65" i="8"/>
  <c r="M65" i="8" s="1"/>
  <c r="J48" i="8"/>
  <c r="D48" i="8"/>
  <c r="L48" i="8"/>
  <c r="M48" i="8" s="1"/>
  <c r="J33" i="8"/>
  <c r="D33" i="8"/>
  <c r="L33" i="8"/>
  <c r="M33" i="8" s="1"/>
  <c r="J18" i="8"/>
  <c r="D18" i="8"/>
  <c r="L18" i="8"/>
  <c r="M18" i="8" s="1"/>
  <c r="AF100" i="8" l="1"/>
  <c r="AB100" i="8"/>
  <c r="AH100" i="8"/>
  <c r="AD100" i="8"/>
  <c r="Y100" i="8"/>
  <c r="V100" i="8"/>
  <c r="S100" i="8"/>
  <c r="AD18" i="8"/>
  <c r="AH18" i="8"/>
  <c r="AB18" i="8"/>
  <c r="AF18" i="8"/>
  <c r="Y18" i="8"/>
  <c r="V18" i="8"/>
  <c r="S18" i="8"/>
  <c r="AF82" i="8"/>
  <c r="AH82" i="8"/>
  <c r="AB82" i="8"/>
  <c r="AD82" i="8"/>
  <c r="S82" i="8"/>
  <c r="V82" i="8"/>
  <c r="Y82" i="8"/>
  <c r="AF65" i="8"/>
  <c r="AB65" i="8"/>
  <c r="AH65" i="8"/>
  <c r="AD65" i="8"/>
  <c r="Y65" i="8"/>
  <c r="V65" i="8"/>
  <c r="S65" i="8"/>
  <c r="AF33" i="8"/>
  <c r="AB33" i="8"/>
  <c r="AD33" i="8"/>
  <c r="AH33" i="8"/>
  <c r="S33" i="8"/>
  <c r="Y33" i="8"/>
  <c r="V33" i="8"/>
  <c r="AH48" i="8"/>
  <c r="AD48" i="8"/>
  <c r="AB48" i="8"/>
  <c r="AF48" i="8"/>
  <c r="V48" i="8"/>
  <c r="Y48" i="8"/>
  <c r="S48" i="8"/>
  <c r="O33" i="8"/>
  <c r="P33" i="8" s="1"/>
  <c r="AI33" i="8" s="1"/>
  <c r="O65" i="8"/>
  <c r="P65" i="8" s="1"/>
  <c r="O48" i="8"/>
  <c r="P48" i="8" s="1"/>
  <c r="AI48" i="8" s="1"/>
  <c r="O82" i="8"/>
  <c r="P82" i="8" s="1"/>
  <c r="AI82" i="8" s="1"/>
  <c r="O100" i="8"/>
  <c r="P100" i="8" s="1"/>
  <c r="AI100" i="8" s="1"/>
  <c r="O18" i="8"/>
  <c r="P18" i="8" s="1"/>
  <c r="AE18" i="8" s="1"/>
  <c r="J129" i="6"/>
  <c r="D129" i="6"/>
  <c r="L129" i="6"/>
  <c r="M129" i="6" s="1"/>
  <c r="J110" i="6"/>
  <c r="D110" i="6"/>
  <c r="L110" i="6"/>
  <c r="M110" i="6" s="1"/>
  <c r="J94" i="6"/>
  <c r="D94" i="6"/>
  <c r="L94" i="6"/>
  <c r="M94" i="6" s="1"/>
  <c r="J76" i="6"/>
  <c r="D76" i="6"/>
  <c r="L76" i="6"/>
  <c r="M76" i="6" s="1"/>
  <c r="J61" i="6"/>
  <c r="D61" i="6"/>
  <c r="L61" i="6"/>
  <c r="M61" i="6" s="1"/>
  <c r="J46" i="6"/>
  <c r="D46" i="6"/>
  <c r="L46" i="6"/>
  <c r="M46" i="6" s="1"/>
  <c r="J31" i="6"/>
  <c r="D31" i="6"/>
  <c r="L31" i="6"/>
  <c r="M31" i="6" s="1"/>
  <c r="J17" i="6"/>
  <c r="D17" i="6"/>
  <c r="L17" i="6"/>
  <c r="M17" i="6" s="1"/>
  <c r="AE100" i="8" l="1"/>
  <c r="AO100" i="8" s="1"/>
  <c r="AC82" i="8"/>
  <c r="AN82" i="8" s="1"/>
  <c r="AC48" i="8"/>
  <c r="AN48" i="8" s="1"/>
  <c r="Z65" i="8"/>
  <c r="AM65" i="8" s="1"/>
  <c r="W65" i="8"/>
  <c r="AL65" i="8" s="1"/>
  <c r="T65" i="8"/>
  <c r="AK65" i="8" s="1"/>
  <c r="W18" i="8"/>
  <c r="AL18" i="8" s="1"/>
  <c r="T18" i="8"/>
  <c r="AK18" i="8" s="1"/>
  <c r="Z18" i="8"/>
  <c r="AM18" i="8" s="1"/>
  <c r="Z33" i="8"/>
  <c r="AM33" i="8" s="1"/>
  <c r="T33" i="8"/>
  <c r="AK33" i="8" s="1"/>
  <c r="W33" i="8"/>
  <c r="AL33" i="8" s="1"/>
  <c r="AC65" i="8"/>
  <c r="AN65" i="8" s="1"/>
  <c r="AQ33" i="8"/>
  <c r="AG18" i="8"/>
  <c r="AP18" i="8" s="1"/>
  <c r="AG48" i="8"/>
  <c r="AP48" i="8" s="1"/>
  <c r="AE33" i="8"/>
  <c r="AO33" i="8" s="1"/>
  <c r="AQ100" i="8"/>
  <c r="AI65" i="8"/>
  <c r="AQ65" i="8" s="1"/>
  <c r="AQ48" i="8"/>
  <c r="T100" i="8"/>
  <c r="AK100" i="8" s="1"/>
  <c r="W100" i="8"/>
  <c r="AL100" i="8" s="1"/>
  <c r="Z100" i="8"/>
  <c r="AM100" i="8" s="1"/>
  <c r="T82" i="8"/>
  <c r="AK82" i="8" s="1"/>
  <c r="W82" i="8"/>
  <c r="AL82" i="8" s="1"/>
  <c r="Z82" i="8"/>
  <c r="AM82" i="8" s="1"/>
  <c r="AG65" i="8"/>
  <c r="AP65" i="8" s="1"/>
  <c r="AG82" i="8"/>
  <c r="AP82" i="8" s="1"/>
  <c r="AI18" i="8"/>
  <c r="AQ18" i="8" s="1"/>
  <c r="AG100" i="8"/>
  <c r="AP100" i="8" s="1"/>
  <c r="AC33" i="8"/>
  <c r="AN33" i="8" s="1"/>
  <c r="Z48" i="8"/>
  <c r="AM48" i="8" s="1"/>
  <c r="T48" i="8"/>
  <c r="AK48" i="8" s="1"/>
  <c r="W48" i="8"/>
  <c r="AL48" i="8" s="1"/>
  <c r="AE65" i="8"/>
  <c r="AO65" i="8" s="1"/>
  <c r="AE82" i="8"/>
  <c r="AO82" i="8" s="1"/>
  <c r="AC18" i="8"/>
  <c r="AN18" i="8" s="1"/>
  <c r="AE48" i="8"/>
  <c r="AO48" i="8" s="1"/>
  <c r="AC100" i="8"/>
  <c r="AN100" i="8" s="1"/>
  <c r="AQ82" i="8"/>
  <c r="AG33" i="8"/>
  <c r="AP33" i="8" s="1"/>
  <c r="AO18" i="8"/>
  <c r="AD17" i="6"/>
  <c r="AB17" i="6"/>
  <c r="AH17" i="6"/>
  <c r="AF17" i="6"/>
  <c r="AB76" i="6"/>
  <c r="AF76" i="6"/>
  <c r="AH76" i="6"/>
  <c r="AD76" i="6"/>
  <c r="AB61" i="6"/>
  <c r="AD61" i="6"/>
  <c r="AH61" i="6"/>
  <c r="AF61" i="6"/>
  <c r="AH129" i="6"/>
  <c r="AD129" i="6"/>
  <c r="AB129" i="6"/>
  <c r="AF129" i="6"/>
  <c r="AB46" i="6"/>
  <c r="AD46" i="6"/>
  <c r="AH46" i="6"/>
  <c r="AF46" i="6"/>
  <c r="AF110" i="6"/>
  <c r="AB110" i="6"/>
  <c r="AH110" i="6"/>
  <c r="AD110" i="6"/>
  <c r="AB31" i="6"/>
  <c r="AH31" i="6"/>
  <c r="AF31" i="6"/>
  <c r="AD31" i="6"/>
  <c r="AF94" i="6"/>
  <c r="AB94" i="6"/>
  <c r="AD94" i="6"/>
  <c r="AH94" i="6"/>
  <c r="O46" i="6"/>
  <c r="P46" i="6" s="1"/>
  <c r="O17" i="6"/>
  <c r="P17" i="6" s="1"/>
  <c r="O129" i="6"/>
  <c r="P129" i="6" s="1"/>
  <c r="O31" i="6"/>
  <c r="P31" i="6" s="1"/>
  <c r="O110" i="6"/>
  <c r="P110" i="6" s="1"/>
  <c r="O94" i="6"/>
  <c r="P94" i="6" s="1"/>
  <c r="O61" i="6"/>
  <c r="P61" i="6" s="1"/>
  <c r="O76" i="6"/>
  <c r="P76" i="6" s="1"/>
  <c r="AG76" i="6" s="1"/>
  <c r="J71" i="19"/>
  <c r="D71" i="19"/>
  <c r="L71" i="19"/>
  <c r="M71" i="19" s="1"/>
  <c r="J53" i="19"/>
  <c r="D53" i="19"/>
  <c r="L53" i="19"/>
  <c r="M53" i="19" s="1"/>
  <c r="J36" i="19"/>
  <c r="D36" i="19"/>
  <c r="L36" i="19"/>
  <c r="M36" i="19" s="1"/>
  <c r="J19" i="19"/>
  <c r="D19" i="19"/>
  <c r="L19" i="19"/>
  <c r="M19" i="19" s="1"/>
  <c r="AI110" i="6" l="1"/>
  <c r="AQ110" i="6" s="1"/>
  <c r="AE46" i="6"/>
  <c r="AO46" i="6" s="1"/>
  <c r="AC110" i="6"/>
  <c r="AN110" i="6" s="1"/>
  <c r="AG94" i="6"/>
  <c r="AP94" i="6" s="1"/>
  <c r="AC46" i="6"/>
  <c r="AN46" i="6" s="1"/>
  <c r="AC94" i="6"/>
  <c r="AN94" i="6" s="1"/>
  <c r="AG46" i="6"/>
  <c r="AP46" i="6" s="1"/>
  <c r="AE94" i="6"/>
  <c r="AO94" i="6" s="1"/>
  <c r="AD53" i="19"/>
  <c r="AB53" i="19"/>
  <c r="AF53" i="19"/>
  <c r="AH53" i="19"/>
  <c r="V53" i="19"/>
  <c r="Y53" i="19"/>
  <c r="S53" i="19"/>
  <c r="AB36" i="19"/>
  <c r="AH36" i="19"/>
  <c r="AF36" i="19"/>
  <c r="AD36" i="19"/>
  <c r="V36" i="19"/>
  <c r="S36" i="19"/>
  <c r="Y36" i="19"/>
  <c r="AF19" i="19"/>
  <c r="AD19" i="19"/>
  <c r="AB19" i="19"/>
  <c r="AH19" i="19"/>
  <c r="Y19" i="19"/>
  <c r="S19" i="19"/>
  <c r="V19" i="19"/>
  <c r="AD71" i="19"/>
  <c r="AB71" i="19"/>
  <c r="AH71" i="19"/>
  <c r="AF71" i="19"/>
  <c r="Y71" i="19"/>
  <c r="V71" i="19"/>
  <c r="S71" i="19"/>
  <c r="AE110" i="6"/>
  <c r="AO110" i="6" s="1"/>
  <c r="AI129" i="6"/>
  <c r="AQ129" i="6" s="1"/>
  <c r="AC61" i="6"/>
  <c r="AN61" i="6" s="1"/>
  <c r="AC76" i="6"/>
  <c r="AN76" i="6" s="1"/>
  <c r="AC17" i="6"/>
  <c r="AN17" i="6" s="1"/>
  <c r="AC31" i="6"/>
  <c r="AN31" i="6" s="1"/>
  <c r="AG129" i="6"/>
  <c r="AP129" i="6" s="1"/>
  <c r="AG61" i="6"/>
  <c r="AP61" i="6" s="1"/>
  <c r="AE76" i="6"/>
  <c r="AO76" i="6" s="1"/>
  <c r="AG17" i="6"/>
  <c r="AP17" i="6" s="1"/>
  <c r="AG31" i="6"/>
  <c r="AP31" i="6" s="1"/>
  <c r="AC129" i="6"/>
  <c r="AN129" i="6" s="1"/>
  <c r="AE61" i="6"/>
  <c r="AO61" i="6" s="1"/>
  <c r="AI76" i="6"/>
  <c r="AQ76" i="6" s="1"/>
  <c r="AE17" i="6"/>
  <c r="AO17" i="6" s="1"/>
  <c r="AP76" i="6"/>
  <c r="AE31" i="6"/>
  <c r="AO31" i="6" s="1"/>
  <c r="AG110" i="6"/>
  <c r="AP110" i="6" s="1"/>
  <c r="AI46" i="6"/>
  <c r="AQ46" i="6" s="1"/>
  <c r="AE129" i="6"/>
  <c r="AO129" i="6" s="1"/>
  <c r="AI61" i="6"/>
  <c r="AQ61" i="6" s="1"/>
  <c r="AI17" i="6"/>
  <c r="AQ17" i="6" s="1"/>
  <c r="AI94" i="6"/>
  <c r="AQ94" i="6" s="1"/>
  <c r="AI31" i="6"/>
  <c r="AQ31" i="6" s="1"/>
  <c r="O71" i="19"/>
  <c r="P71" i="19" s="1"/>
  <c r="AE71" i="19" s="1"/>
  <c r="O19" i="19"/>
  <c r="P19" i="19" s="1"/>
  <c r="AC19" i="19" s="1"/>
  <c r="O53" i="19"/>
  <c r="P53" i="19" s="1"/>
  <c r="AI53" i="19" s="1"/>
  <c r="O36" i="19"/>
  <c r="P36" i="19" s="1"/>
  <c r="AN19" i="19" l="1"/>
  <c r="AG71" i="19"/>
  <c r="AP71" i="19" s="1"/>
  <c r="AE53" i="19"/>
  <c r="AO53" i="19" s="1"/>
  <c r="Z36" i="19"/>
  <c r="AM36" i="19" s="1"/>
  <c r="T36" i="19"/>
  <c r="AK36" i="19" s="1"/>
  <c r="W36" i="19"/>
  <c r="AL36" i="19" s="1"/>
  <c r="AI19" i="19"/>
  <c r="AQ19" i="19" s="1"/>
  <c r="AC71" i="19"/>
  <c r="AN71" i="19" s="1"/>
  <c r="AI36" i="19"/>
  <c r="AQ36" i="19" s="1"/>
  <c r="AQ53" i="19"/>
  <c r="W53" i="19"/>
  <c r="AL53" i="19" s="1"/>
  <c r="T53" i="19"/>
  <c r="AK53" i="19" s="1"/>
  <c r="Z53" i="19"/>
  <c r="AM53" i="19" s="1"/>
  <c r="AC36" i="19"/>
  <c r="AN36" i="19" s="1"/>
  <c r="AG53" i="19"/>
  <c r="AP53" i="19" s="1"/>
  <c r="W19" i="19"/>
  <c r="AL19" i="19" s="1"/>
  <c r="Z19" i="19"/>
  <c r="AM19" i="19" s="1"/>
  <c r="T19" i="19"/>
  <c r="AK19" i="19" s="1"/>
  <c r="AO71" i="19"/>
  <c r="AG19" i="19"/>
  <c r="AP19" i="19" s="1"/>
  <c r="AG36" i="19"/>
  <c r="AP36" i="19" s="1"/>
  <c r="Z71" i="19"/>
  <c r="AM71" i="19" s="1"/>
  <c r="T71" i="19"/>
  <c r="AK71" i="19" s="1"/>
  <c r="W71" i="19"/>
  <c r="AL71" i="19" s="1"/>
  <c r="AE19" i="19"/>
  <c r="AO19" i="19" s="1"/>
  <c r="AI71" i="19"/>
  <c r="AQ71" i="19" s="1"/>
  <c r="AE36" i="19"/>
  <c r="AO36" i="19" s="1"/>
  <c r="AC53" i="19"/>
  <c r="AN53" i="19" s="1"/>
  <c r="H129" i="6"/>
  <c r="F129" i="6"/>
  <c r="E129" i="6"/>
  <c r="H110" i="6"/>
  <c r="F110" i="6"/>
  <c r="E110" i="6"/>
  <c r="H94" i="6"/>
  <c r="F94" i="6"/>
  <c r="E94" i="6"/>
  <c r="H76" i="6"/>
  <c r="F76" i="6"/>
  <c r="E76" i="6"/>
  <c r="H61" i="6"/>
  <c r="F61" i="6"/>
  <c r="E61" i="6"/>
  <c r="H46" i="6"/>
  <c r="F46" i="6"/>
  <c r="E46" i="6"/>
  <c r="H31" i="6"/>
  <c r="F31" i="6"/>
  <c r="E31" i="6"/>
  <c r="H17" i="6"/>
  <c r="F17" i="6"/>
  <c r="E17" i="6"/>
  <c r="R31" i="6" l="1"/>
  <c r="T31" i="6" s="1"/>
  <c r="R94" i="6"/>
  <c r="T94" i="6" s="1"/>
  <c r="R17" i="6"/>
  <c r="S17" i="6" s="1"/>
  <c r="R76" i="6"/>
  <c r="S76" i="6" s="1"/>
  <c r="R61" i="6"/>
  <c r="R129" i="6"/>
  <c r="R46" i="6"/>
  <c r="R110" i="6"/>
  <c r="X46" i="6"/>
  <c r="U46" i="6"/>
  <c r="X110" i="6"/>
  <c r="U110" i="6"/>
  <c r="X94" i="6"/>
  <c r="U94" i="6"/>
  <c r="X76" i="6"/>
  <c r="U76" i="6"/>
  <c r="X31" i="6"/>
  <c r="U31" i="6"/>
  <c r="X17" i="6"/>
  <c r="U17" i="6"/>
  <c r="X61" i="6"/>
  <c r="U61" i="6"/>
  <c r="X129" i="6"/>
  <c r="U129" i="6"/>
  <c r="S31" i="6" l="1"/>
  <c r="T17" i="6"/>
  <c r="AK17" i="6" s="1"/>
  <c r="S94" i="6"/>
  <c r="AK94" i="6" s="1"/>
  <c r="T76" i="6"/>
  <c r="AK76" i="6" s="1"/>
  <c r="T110" i="6"/>
  <c r="S110" i="6"/>
  <c r="S46" i="6"/>
  <c r="T46" i="6"/>
  <c r="S61" i="6"/>
  <c r="T61" i="6"/>
  <c r="S129" i="6"/>
  <c r="T129" i="6"/>
  <c r="AK31" i="6"/>
  <c r="V129" i="6"/>
  <c r="W129" i="6"/>
  <c r="V17" i="6"/>
  <c r="W17" i="6"/>
  <c r="V76" i="6"/>
  <c r="W76" i="6"/>
  <c r="W110" i="6"/>
  <c r="V110" i="6"/>
  <c r="Z129" i="6"/>
  <c r="Y129" i="6"/>
  <c r="Y17" i="6"/>
  <c r="Z17" i="6"/>
  <c r="Y76" i="6"/>
  <c r="Z76" i="6"/>
  <c r="Z110" i="6"/>
  <c r="Y110" i="6"/>
  <c r="V61" i="6"/>
  <c r="W61" i="6"/>
  <c r="W31" i="6"/>
  <c r="V31" i="6"/>
  <c r="V94" i="6"/>
  <c r="W94" i="6"/>
  <c r="V46" i="6"/>
  <c r="W46" i="6"/>
  <c r="Y61" i="6"/>
  <c r="Z61" i="6"/>
  <c r="Y31" i="6"/>
  <c r="Z31" i="6"/>
  <c r="Z94" i="6"/>
  <c r="Y94" i="6"/>
  <c r="Y46" i="6"/>
  <c r="Z46" i="6"/>
  <c r="D101" i="8"/>
  <c r="F101" i="8"/>
  <c r="E101" i="8"/>
  <c r="D99" i="8"/>
  <c r="F99" i="8"/>
  <c r="E99" i="8"/>
  <c r="AK129" i="6" l="1"/>
  <c r="AL31" i="6"/>
  <c r="AM110" i="6"/>
  <c r="AL110" i="6"/>
  <c r="AK46" i="6"/>
  <c r="AK61" i="6"/>
  <c r="AK110" i="6"/>
  <c r="AM94" i="6"/>
  <c r="AM129" i="6"/>
  <c r="AM46" i="6"/>
  <c r="AM31" i="6"/>
  <c r="AL46" i="6"/>
  <c r="AM17" i="6"/>
  <c r="AL17" i="6"/>
  <c r="AM61" i="6"/>
  <c r="AL94" i="6"/>
  <c r="AL61" i="6"/>
  <c r="AM76" i="6"/>
  <c r="AL76" i="6"/>
  <c r="AL129" i="6"/>
  <c r="G101" i="8"/>
  <c r="H101" i="8" s="1"/>
  <c r="I101" i="8" s="1"/>
  <c r="G99" i="8"/>
  <c r="H99" i="8" s="1"/>
  <c r="I99" i="8" s="1"/>
  <c r="F70" i="19"/>
  <c r="G70" i="19" s="1"/>
  <c r="D70" i="19"/>
  <c r="D69" i="19"/>
  <c r="F69" i="19"/>
  <c r="D68" i="19"/>
  <c r="F68" i="19"/>
  <c r="D67" i="19"/>
  <c r="F67" i="19"/>
  <c r="D66" i="19"/>
  <c r="F66" i="19"/>
  <c r="D65" i="19"/>
  <c r="F65" i="19"/>
  <c r="D63" i="19"/>
  <c r="F63" i="19"/>
  <c r="D62" i="19"/>
  <c r="F62" i="19"/>
  <c r="D61" i="19"/>
  <c r="F61" i="19"/>
  <c r="D60" i="19"/>
  <c r="F60" i="19"/>
  <c r="D59" i="19"/>
  <c r="F59" i="19"/>
  <c r="D58" i="19"/>
  <c r="F58" i="19"/>
  <c r="U101" i="8" l="1"/>
  <c r="H70" i="19"/>
  <c r="U70" i="19"/>
  <c r="R70" i="19"/>
  <c r="X70" i="19"/>
  <c r="R101" i="8"/>
  <c r="R99" i="8"/>
  <c r="X99" i="8"/>
  <c r="X101" i="8"/>
  <c r="U99" i="8"/>
  <c r="G61" i="19"/>
  <c r="G58" i="19"/>
  <c r="G60" i="19"/>
  <c r="G59" i="19"/>
  <c r="G62" i="19"/>
  <c r="G63" i="19"/>
  <c r="G67" i="19"/>
  <c r="G65" i="19"/>
  <c r="G66" i="19"/>
  <c r="G69" i="19"/>
  <c r="G68" i="19"/>
  <c r="J99" i="8"/>
  <c r="L99" i="8"/>
  <c r="M99" i="8" s="1"/>
  <c r="J101" i="8"/>
  <c r="L101" i="8"/>
  <c r="M101" i="8" s="1"/>
  <c r="I70" i="19" l="1"/>
  <c r="J70" i="19" s="1"/>
  <c r="H61" i="19"/>
  <c r="I61" i="19" s="1"/>
  <c r="L61" i="19" s="1"/>
  <c r="M61" i="19" s="1"/>
  <c r="X61" i="19"/>
  <c r="U61" i="19"/>
  <c r="R61" i="19"/>
  <c r="H68" i="19"/>
  <c r="U68" i="19"/>
  <c r="X68" i="19"/>
  <c r="R68" i="19"/>
  <c r="H67" i="19"/>
  <c r="I67" i="19" s="1"/>
  <c r="L67" i="19" s="1"/>
  <c r="M67" i="19" s="1"/>
  <c r="R67" i="19"/>
  <c r="U67" i="19"/>
  <c r="X67" i="19"/>
  <c r="H59" i="19"/>
  <c r="I59" i="19" s="1"/>
  <c r="L59" i="19" s="1"/>
  <c r="M59" i="19" s="1"/>
  <c r="X59" i="19"/>
  <c r="R59" i="19"/>
  <c r="U59" i="19"/>
  <c r="H65" i="19"/>
  <c r="X65" i="19"/>
  <c r="U65" i="19"/>
  <c r="R65" i="19"/>
  <c r="H69" i="19"/>
  <c r="I69" i="19" s="1"/>
  <c r="J69" i="19" s="1"/>
  <c r="O69" i="19" s="1"/>
  <c r="P69" i="19" s="1"/>
  <c r="R69" i="19"/>
  <c r="X69" i="19"/>
  <c r="U69" i="19"/>
  <c r="H63" i="19"/>
  <c r="X63" i="19"/>
  <c r="U63" i="19"/>
  <c r="R63" i="19"/>
  <c r="H60" i="19"/>
  <c r="I60" i="19" s="1"/>
  <c r="L60" i="19" s="1"/>
  <c r="M60" i="19" s="1"/>
  <c r="R60" i="19"/>
  <c r="U60" i="19"/>
  <c r="X60" i="19"/>
  <c r="H66" i="19"/>
  <c r="R66" i="19"/>
  <c r="X66" i="19"/>
  <c r="U66" i="19"/>
  <c r="H62" i="19"/>
  <c r="R62" i="19"/>
  <c r="U62" i="19"/>
  <c r="X62" i="19"/>
  <c r="H58" i="19"/>
  <c r="I58" i="19" s="1"/>
  <c r="J58" i="19" s="1"/>
  <c r="O58" i="19" s="1"/>
  <c r="P58" i="19" s="1"/>
  <c r="X58" i="19"/>
  <c r="U58" i="19"/>
  <c r="R58" i="19"/>
  <c r="Y99" i="8"/>
  <c r="S99" i="8"/>
  <c r="Y101" i="8"/>
  <c r="AF101" i="8"/>
  <c r="AB101" i="8"/>
  <c r="AD101" i="8"/>
  <c r="AH101" i="8"/>
  <c r="V101" i="8"/>
  <c r="AH99" i="8"/>
  <c r="AB99" i="8"/>
  <c r="AD99" i="8"/>
  <c r="AF99" i="8"/>
  <c r="V99" i="8"/>
  <c r="S101" i="8"/>
  <c r="O101" i="8"/>
  <c r="P101" i="8" s="1"/>
  <c r="T101" i="8" s="1"/>
  <c r="O99" i="8"/>
  <c r="P99" i="8" s="1"/>
  <c r="W99" i="8" s="1"/>
  <c r="D57" i="19"/>
  <c r="F57" i="19"/>
  <c r="D56" i="19"/>
  <c r="F56" i="19"/>
  <c r="D55" i="19"/>
  <c r="F55" i="19"/>
  <c r="D54" i="19"/>
  <c r="F54" i="19"/>
  <c r="D52" i="19"/>
  <c r="F52" i="19"/>
  <c r="D51" i="19"/>
  <c r="F51" i="19"/>
  <c r="D49" i="19"/>
  <c r="F49" i="19"/>
  <c r="D48" i="19"/>
  <c r="F48" i="19"/>
  <c r="D47" i="19"/>
  <c r="F47" i="19"/>
  <c r="D46" i="19"/>
  <c r="F46" i="19"/>
  <c r="D45" i="19"/>
  <c r="F45" i="19"/>
  <c r="D44" i="19"/>
  <c r="F44" i="19"/>
  <c r="D43" i="19"/>
  <c r="F43" i="19"/>
  <c r="D42" i="19"/>
  <c r="F42" i="19"/>
  <c r="D41" i="19"/>
  <c r="F41" i="19"/>
  <c r="D40" i="19"/>
  <c r="F40" i="19"/>
  <c r="D39" i="19"/>
  <c r="F39" i="19"/>
  <c r="D38" i="19"/>
  <c r="F38" i="19"/>
  <c r="D35" i="19"/>
  <c r="F35" i="19"/>
  <c r="D34" i="19"/>
  <c r="F34" i="19"/>
  <c r="D33" i="19"/>
  <c r="F33" i="19"/>
  <c r="D32" i="19"/>
  <c r="F32" i="19"/>
  <c r="D31" i="19"/>
  <c r="F31" i="19"/>
  <c r="D30" i="19"/>
  <c r="F30" i="19"/>
  <c r="D29" i="19"/>
  <c r="F29" i="19"/>
  <c r="D28" i="19"/>
  <c r="F28" i="19"/>
  <c r="D27" i="19"/>
  <c r="F27" i="19"/>
  <c r="D26" i="19"/>
  <c r="F26" i="19"/>
  <c r="D25" i="19"/>
  <c r="F25" i="19"/>
  <c r="D24" i="19"/>
  <c r="F24" i="19"/>
  <c r="D22" i="19"/>
  <c r="F22" i="19"/>
  <c r="D21" i="19"/>
  <c r="F21" i="19"/>
  <c r="D20" i="19"/>
  <c r="F20" i="19"/>
  <c r="D18" i="19"/>
  <c r="F18" i="19"/>
  <c r="D17" i="19"/>
  <c r="F17" i="19"/>
  <c r="D16" i="19"/>
  <c r="F16" i="19"/>
  <c r="L70" i="19" l="1"/>
  <c r="M70" i="19" s="1"/>
  <c r="S70" i="19" s="1"/>
  <c r="J59" i="19"/>
  <c r="O59" i="19" s="1"/>
  <c r="P59" i="19" s="1"/>
  <c r="Z59" i="19" s="1"/>
  <c r="I68" i="19"/>
  <c r="J68" i="19" s="1"/>
  <c r="O68" i="19" s="1"/>
  <c r="P68" i="19" s="1"/>
  <c r="AI68" i="19" s="1"/>
  <c r="I63" i="19"/>
  <c r="L63" i="19" s="1"/>
  <c r="M63" i="19" s="1"/>
  <c r="Y63" i="19" s="1"/>
  <c r="I66" i="19"/>
  <c r="L66" i="19" s="1"/>
  <c r="M66" i="19" s="1"/>
  <c r="J67" i="19"/>
  <c r="O67" i="19" s="1"/>
  <c r="P67" i="19" s="1"/>
  <c r="AC67" i="19" s="1"/>
  <c r="I65" i="19"/>
  <c r="L65" i="19" s="1"/>
  <c r="M65" i="19" s="1"/>
  <c r="AH65" i="19" s="1"/>
  <c r="J61" i="19"/>
  <c r="O61" i="19" s="1"/>
  <c r="P61" i="19" s="1"/>
  <c r="AI61" i="19" s="1"/>
  <c r="L69" i="19"/>
  <c r="M69" i="19" s="1"/>
  <c r="AF69" i="19" s="1"/>
  <c r="L58" i="19"/>
  <c r="M58" i="19" s="1"/>
  <c r="AF58" i="19" s="1"/>
  <c r="J60" i="19"/>
  <c r="O60" i="19" s="1"/>
  <c r="P60" i="19" s="1"/>
  <c r="AI60" i="19" s="1"/>
  <c r="I62" i="19"/>
  <c r="J62" i="19" s="1"/>
  <c r="T99" i="8"/>
  <c r="AK99" i="8" s="1"/>
  <c r="AI69" i="19"/>
  <c r="AE69" i="19"/>
  <c r="AG69" i="19"/>
  <c r="AC69" i="19"/>
  <c r="AH58" i="19"/>
  <c r="Z58" i="19"/>
  <c r="S60" i="19"/>
  <c r="T69" i="19"/>
  <c r="Y59" i="19"/>
  <c r="S67" i="19"/>
  <c r="Y61" i="19"/>
  <c r="AE58" i="19"/>
  <c r="AG58" i="19"/>
  <c r="AC58" i="19"/>
  <c r="AI58" i="19"/>
  <c r="AH60" i="19"/>
  <c r="AF60" i="19"/>
  <c r="AD60" i="19"/>
  <c r="AB60" i="19"/>
  <c r="AH59" i="19"/>
  <c r="AB59" i="19"/>
  <c r="AD59" i="19"/>
  <c r="AF59" i="19"/>
  <c r="AH61" i="19"/>
  <c r="AD61" i="19"/>
  <c r="AF61" i="19"/>
  <c r="AB61" i="19"/>
  <c r="V70" i="19"/>
  <c r="Y70" i="19"/>
  <c r="AI59" i="19"/>
  <c r="AE59" i="19"/>
  <c r="AC59" i="19"/>
  <c r="Y60" i="19"/>
  <c r="W69" i="19"/>
  <c r="V59" i="19"/>
  <c r="W59" i="19"/>
  <c r="Y67" i="19"/>
  <c r="S61" i="19"/>
  <c r="AF67" i="19"/>
  <c r="AH67" i="19"/>
  <c r="AD67" i="19"/>
  <c r="AB67" i="19"/>
  <c r="T58" i="19"/>
  <c r="AH70" i="19"/>
  <c r="AD70" i="19"/>
  <c r="AF70" i="19"/>
  <c r="AB70" i="19"/>
  <c r="W58" i="19"/>
  <c r="V60" i="19"/>
  <c r="Z69" i="19"/>
  <c r="T59" i="19"/>
  <c r="S59" i="19"/>
  <c r="V67" i="19"/>
  <c r="V61" i="19"/>
  <c r="AC99" i="8"/>
  <c r="AN99" i="8" s="1"/>
  <c r="AG99" i="8"/>
  <c r="AP99" i="8" s="1"/>
  <c r="AI99" i="8"/>
  <c r="AQ99" i="8" s="1"/>
  <c r="AE99" i="8"/>
  <c r="AO99" i="8" s="1"/>
  <c r="AL99" i="8"/>
  <c r="AE101" i="8"/>
  <c r="AO101" i="8" s="1"/>
  <c r="AI101" i="8"/>
  <c r="AQ101" i="8" s="1"/>
  <c r="AG101" i="8"/>
  <c r="AP101" i="8" s="1"/>
  <c r="AC101" i="8"/>
  <c r="AN101" i="8" s="1"/>
  <c r="W101" i="8"/>
  <c r="AL101" i="8" s="1"/>
  <c r="AK101" i="8"/>
  <c r="Z101" i="8"/>
  <c r="AM101" i="8" s="1"/>
  <c r="Z99" i="8"/>
  <c r="AM99" i="8" s="1"/>
  <c r="G21" i="19"/>
  <c r="G26" i="19"/>
  <c r="G49" i="19"/>
  <c r="G52" i="19"/>
  <c r="G29" i="19"/>
  <c r="G34" i="19"/>
  <c r="G41" i="19"/>
  <c r="G45" i="19"/>
  <c r="G40" i="19"/>
  <c r="G56" i="19"/>
  <c r="G28" i="19"/>
  <c r="G27" i="19"/>
  <c r="G32" i="19"/>
  <c r="G38" i="19"/>
  <c r="G43" i="19"/>
  <c r="O62" i="19"/>
  <c r="P62" i="19" s="1"/>
  <c r="O70" i="19"/>
  <c r="P70" i="19" s="1"/>
  <c r="G17" i="19"/>
  <c r="G18" i="19"/>
  <c r="G20" i="19"/>
  <c r="G24" i="19"/>
  <c r="G25" i="19"/>
  <c r="G33" i="19"/>
  <c r="G39" i="19"/>
  <c r="G47" i="19"/>
  <c r="G16" i="19"/>
  <c r="G57" i="19"/>
  <c r="G30" i="19"/>
  <c r="G54" i="19"/>
  <c r="G51" i="19"/>
  <c r="G31" i="19"/>
  <c r="G44" i="19"/>
  <c r="G48" i="19"/>
  <c r="G55" i="19"/>
  <c r="G22" i="19"/>
  <c r="G35" i="19"/>
  <c r="G42" i="19"/>
  <c r="G46" i="19"/>
  <c r="AG59" i="19" l="1"/>
  <c r="L68" i="19"/>
  <c r="M68" i="19" s="1"/>
  <c r="T68" i="19"/>
  <c r="W68" i="19"/>
  <c r="AG68" i="19"/>
  <c r="Z68" i="19"/>
  <c r="V65" i="19"/>
  <c r="AE68" i="19"/>
  <c r="AD69" i="19"/>
  <c r="AO69" i="19" s="1"/>
  <c r="AB69" i="19"/>
  <c r="AN69" i="19" s="1"/>
  <c r="S69" i="19"/>
  <c r="AK69" i="19" s="1"/>
  <c r="L62" i="19"/>
  <c r="M62" i="19" s="1"/>
  <c r="AH62" i="19" s="1"/>
  <c r="AH69" i="19"/>
  <c r="AQ69" i="19" s="1"/>
  <c r="V69" i="19"/>
  <c r="AL69" i="19" s="1"/>
  <c r="AC68" i="19"/>
  <c r="Y69" i="19"/>
  <c r="AM69" i="19" s="1"/>
  <c r="AF63" i="19"/>
  <c r="AC61" i="19"/>
  <c r="AN61" i="19" s="1"/>
  <c r="T60" i="19"/>
  <c r="AK60" i="19" s="1"/>
  <c r="AB65" i="19"/>
  <c r="S65" i="19"/>
  <c r="V63" i="19"/>
  <c r="AE67" i="19"/>
  <c r="AO67" i="19" s="1"/>
  <c r="J63" i="19"/>
  <c r="O63" i="19" s="1"/>
  <c r="P63" i="19" s="1"/>
  <c r="W63" i="19" s="1"/>
  <c r="AI67" i="19"/>
  <c r="AQ67" i="19" s="1"/>
  <c r="AB63" i="19"/>
  <c r="T67" i="19"/>
  <c r="AK67" i="19" s="1"/>
  <c r="S58" i="19"/>
  <c r="AK58" i="19" s="1"/>
  <c r="Z67" i="19"/>
  <c r="AM67" i="19" s="1"/>
  <c r="AG67" i="19"/>
  <c r="AP67" i="19" s="1"/>
  <c r="AH63" i="19"/>
  <c r="W67" i="19"/>
  <c r="AL67" i="19" s="1"/>
  <c r="V58" i="19"/>
  <c r="AL58" i="19" s="1"/>
  <c r="S63" i="19"/>
  <c r="AD63" i="19"/>
  <c r="AD58" i="19"/>
  <c r="AO58" i="19" s="1"/>
  <c r="J65" i="19"/>
  <c r="O65" i="19" s="1"/>
  <c r="P65" i="19" s="1"/>
  <c r="Z65" i="19" s="1"/>
  <c r="AD65" i="19"/>
  <c r="AG61" i="19"/>
  <c r="AP61" i="19" s="1"/>
  <c r="J66" i="19"/>
  <c r="O66" i="19" s="1"/>
  <c r="P66" i="19" s="1"/>
  <c r="AE66" i="19" s="1"/>
  <c r="W60" i="19"/>
  <c r="AL60" i="19" s="1"/>
  <c r="AF65" i="19"/>
  <c r="AE61" i="19"/>
  <c r="AO61" i="19" s="1"/>
  <c r="Z61" i="19"/>
  <c r="AM61" i="19" s="1"/>
  <c r="Y65" i="19"/>
  <c r="W61" i="19"/>
  <c r="AL61" i="19" s="1"/>
  <c r="T61" i="19"/>
  <c r="AK61" i="19" s="1"/>
  <c r="Z60" i="19"/>
  <c r="AM60" i="19" s="1"/>
  <c r="AC60" i="19"/>
  <c r="AN60" i="19" s="1"/>
  <c r="AB58" i="19"/>
  <c r="AN58" i="19" s="1"/>
  <c r="AQ61" i="19"/>
  <c r="Y58" i="19"/>
  <c r="AM58" i="19" s="1"/>
  <c r="AE60" i="19"/>
  <c r="AO60" i="19" s="1"/>
  <c r="AG60" i="19"/>
  <c r="AP60" i="19" s="1"/>
  <c r="AQ60" i="19"/>
  <c r="AN59" i="19"/>
  <c r="AO59" i="19"/>
  <c r="AI70" i="19"/>
  <c r="AQ70" i="19" s="1"/>
  <c r="AG70" i="19"/>
  <c r="AP70" i="19" s="1"/>
  <c r="AE70" i="19"/>
  <c r="AO70" i="19" s="1"/>
  <c r="AC70" i="19"/>
  <c r="AN70" i="19" s="1"/>
  <c r="T70" i="19"/>
  <c r="AK70" i="19" s="1"/>
  <c r="Z70" i="19"/>
  <c r="AM70" i="19" s="1"/>
  <c r="W70" i="19"/>
  <c r="AL70" i="19" s="1"/>
  <c r="AF68" i="19"/>
  <c r="AB68" i="19"/>
  <c r="AH68" i="19"/>
  <c r="AQ68" i="19" s="1"/>
  <c r="AD68" i="19"/>
  <c r="AK59" i="19"/>
  <c r="S68" i="19"/>
  <c r="AL59" i="19"/>
  <c r="AP59" i="19"/>
  <c r="AP58" i="19"/>
  <c r="AP69" i="19"/>
  <c r="AE62" i="19"/>
  <c r="AC62" i="19"/>
  <c r="AI62" i="19"/>
  <c r="AG62" i="19"/>
  <c r="AD66" i="19"/>
  <c r="AF66" i="19"/>
  <c r="AB66" i="19"/>
  <c r="AH66" i="19"/>
  <c r="AC63" i="19"/>
  <c r="Y68" i="19"/>
  <c r="AM68" i="19" s="1"/>
  <c r="Y66" i="19"/>
  <c r="V68" i="19"/>
  <c r="W62" i="19"/>
  <c r="Z62" i="19"/>
  <c r="AM59" i="19"/>
  <c r="S66" i="19"/>
  <c r="AQ58" i="19"/>
  <c r="V66" i="19"/>
  <c r="AQ59" i="19"/>
  <c r="AN67" i="19"/>
  <c r="T62" i="19"/>
  <c r="H54" i="19"/>
  <c r="I54" i="19" s="1"/>
  <c r="J54" i="19" s="1"/>
  <c r="O54" i="19" s="1"/>
  <c r="P54" i="19" s="1"/>
  <c r="R54" i="19"/>
  <c r="U54" i="19"/>
  <c r="X54" i="19"/>
  <c r="H24" i="19"/>
  <c r="R24" i="19"/>
  <c r="X24" i="19"/>
  <c r="U24" i="19"/>
  <c r="H28" i="19"/>
  <c r="U28" i="19"/>
  <c r="R28" i="19"/>
  <c r="X28" i="19"/>
  <c r="H45" i="19"/>
  <c r="I45" i="19" s="1"/>
  <c r="J45" i="19" s="1"/>
  <c r="R45" i="19"/>
  <c r="X45" i="19"/>
  <c r="U45" i="19"/>
  <c r="H46" i="19"/>
  <c r="I46" i="19" s="1"/>
  <c r="L46" i="19" s="1"/>
  <c r="M46" i="19" s="1"/>
  <c r="U46" i="19"/>
  <c r="X46" i="19"/>
  <c r="R46" i="19"/>
  <c r="H31" i="19"/>
  <c r="I31" i="19" s="1"/>
  <c r="J31" i="19" s="1"/>
  <c r="X31" i="19"/>
  <c r="U31" i="19"/>
  <c r="R31" i="19"/>
  <c r="H57" i="19"/>
  <c r="I57" i="19" s="1"/>
  <c r="J57" i="19" s="1"/>
  <c r="O57" i="19" s="1"/>
  <c r="P57" i="19" s="1"/>
  <c r="X57" i="19"/>
  <c r="U57" i="19"/>
  <c r="R57" i="19"/>
  <c r="H39" i="19"/>
  <c r="X39" i="19"/>
  <c r="U39" i="19"/>
  <c r="R39" i="19"/>
  <c r="H20" i="19"/>
  <c r="U20" i="19"/>
  <c r="R20" i="19"/>
  <c r="X20" i="19"/>
  <c r="H38" i="19"/>
  <c r="R38" i="19"/>
  <c r="X38" i="19"/>
  <c r="U38" i="19"/>
  <c r="H41" i="19"/>
  <c r="X41" i="19"/>
  <c r="R41" i="19"/>
  <c r="U41" i="19"/>
  <c r="H52" i="19"/>
  <c r="I52" i="19" s="1"/>
  <c r="J52" i="19" s="1"/>
  <c r="R52" i="19"/>
  <c r="X52" i="19"/>
  <c r="U52" i="19"/>
  <c r="H43" i="19"/>
  <c r="U43" i="19"/>
  <c r="R43" i="19"/>
  <c r="X43" i="19"/>
  <c r="H21" i="19"/>
  <c r="R21" i="19"/>
  <c r="X21" i="19"/>
  <c r="U21" i="19"/>
  <c r="H55" i="19"/>
  <c r="I55" i="19" s="1"/>
  <c r="J55" i="19" s="1"/>
  <c r="R55" i="19"/>
  <c r="X55" i="19"/>
  <c r="U55" i="19"/>
  <c r="H33" i="19"/>
  <c r="I33" i="19" s="1"/>
  <c r="J33" i="19" s="1"/>
  <c r="O33" i="19" s="1"/>
  <c r="P33" i="19" s="1"/>
  <c r="X33" i="19"/>
  <c r="U33" i="19"/>
  <c r="R33" i="19"/>
  <c r="H18" i="19"/>
  <c r="R18" i="19"/>
  <c r="X18" i="19"/>
  <c r="U18" i="19"/>
  <c r="H32" i="19"/>
  <c r="I32" i="19" s="1"/>
  <c r="J32" i="19" s="1"/>
  <c r="U32" i="19"/>
  <c r="R32" i="19"/>
  <c r="X32" i="19"/>
  <c r="H56" i="19"/>
  <c r="I56" i="19" s="1"/>
  <c r="J56" i="19" s="1"/>
  <c r="U56" i="19"/>
  <c r="R56" i="19"/>
  <c r="X56" i="19"/>
  <c r="H34" i="19"/>
  <c r="U34" i="19"/>
  <c r="R34" i="19"/>
  <c r="X34" i="19"/>
  <c r="H49" i="19"/>
  <c r="R49" i="19"/>
  <c r="U49" i="19"/>
  <c r="X49" i="19"/>
  <c r="H22" i="19"/>
  <c r="I22" i="19" s="1"/>
  <c r="J22" i="19" s="1"/>
  <c r="X22" i="19"/>
  <c r="U22" i="19"/>
  <c r="R22" i="19"/>
  <c r="H44" i="19"/>
  <c r="I44" i="19" s="1"/>
  <c r="J44" i="19" s="1"/>
  <c r="X44" i="19"/>
  <c r="U44" i="19"/>
  <c r="R44" i="19"/>
  <c r="H47" i="19"/>
  <c r="X47" i="19"/>
  <c r="R47" i="19"/>
  <c r="U47" i="19"/>
  <c r="H42" i="19"/>
  <c r="I42" i="19" s="1"/>
  <c r="J42" i="19" s="1"/>
  <c r="U42" i="19"/>
  <c r="R42" i="19"/>
  <c r="X42" i="19"/>
  <c r="H35" i="19"/>
  <c r="I35" i="19" s="1"/>
  <c r="L35" i="19" s="1"/>
  <c r="M35" i="19" s="1"/>
  <c r="X35" i="19"/>
  <c r="U35" i="19"/>
  <c r="R35" i="19"/>
  <c r="H48" i="19"/>
  <c r="I48" i="19" s="1"/>
  <c r="J48" i="19" s="1"/>
  <c r="R48" i="19"/>
  <c r="X48" i="19"/>
  <c r="U48" i="19"/>
  <c r="H51" i="19"/>
  <c r="I51" i="19" s="1"/>
  <c r="J51" i="19" s="1"/>
  <c r="R51" i="19"/>
  <c r="X51" i="19"/>
  <c r="U51" i="19"/>
  <c r="H30" i="19"/>
  <c r="U30" i="19"/>
  <c r="R30" i="19"/>
  <c r="X30" i="19"/>
  <c r="H16" i="19"/>
  <c r="X16" i="19"/>
  <c r="U16" i="19"/>
  <c r="R16" i="19"/>
  <c r="H25" i="19"/>
  <c r="I25" i="19" s="1"/>
  <c r="L25" i="19" s="1"/>
  <c r="M25" i="19" s="1"/>
  <c r="X25" i="19"/>
  <c r="U25" i="19"/>
  <c r="R25" i="19"/>
  <c r="H17" i="19"/>
  <c r="R17" i="19"/>
  <c r="U17" i="19"/>
  <c r="X17" i="19"/>
  <c r="H27" i="19"/>
  <c r="R27" i="19"/>
  <c r="X27" i="19"/>
  <c r="U27" i="19"/>
  <c r="H40" i="19"/>
  <c r="I40" i="19" s="1"/>
  <c r="L40" i="19" s="1"/>
  <c r="M40" i="19" s="1"/>
  <c r="X40" i="19"/>
  <c r="U40" i="19"/>
  <c r="R40" i="19"/>
  <c r="H29" i="19"/>
  <c r="I29" i="19" s="1"/>
  <c r="L29" i="19" s="1"/>
  <c r="M29" i="19" s="1"/>
  <c r="X29" i="19"/>
  <c r="R29" i="19"/>
  <c r="U29" i="19"/>
  <c r="H26" i="19"/>
  <c r="I26" i="19" s="1"/>
  <c r="J26" i="19" s="1"/>
  <c r="O26" i="19" s="1"/>
  <c r="P26" i="19" s="1"/>
  <c r="X26" i="19"/>
  <c r="R26" i="19"/>
  <c r="U26" i="19"/>
  <c r="L55" i="19"/>
  <c r="M55" i="19" s="1"/>
  <c r="AL68" i="19" l="1"/>
  <c r="AG63" i="19"/>
  <c r="AI63" i="19"/>
  <c r="T63" i="19"/>
  <c r="AK68" i="19"/>
  <c r="AL63" i="19"/>
  <c r="I49" i="19"/>
  <c r="L49" i="19" s="1"/>
  <c r="M49" i="19" s="1"/>
  <c r="L56" i="19"/>
  <c r="M56" i="19" s="1"/>
  <c r="L31" i="19"/>
  <c r="M31" i="19" s="1"/>
  <c r="AB31" i="19" s="1"/>
  <c r="L57" i="19"/>
  <c r="M57" i="19" s="1"/>
  <c r="AD62" i="19"/>
  <c r="L52" i="19"/>
  <c r="M52" i="19" s="1"/>
  <c r="AF52" i="19" s="1"/>
  <c r="Z63" i="19"/>
  <c r="AM63" i="19" s="1"/>
  <c r="L33" i="19"/>
  <c r="M33" i="19" s="1"/>
  <c r="AH33" i="19" s="1"/>
  <c r="L45" i="19"/>
  <c r="M45" i="19" s="1"/>
  <c r="Y45" i="19" s="1"/>
  <c r="L32" i="19"/>
  <c r="M32" i="19" s="1"/>
  <c r="AH32" i="19" s="1"/>
  <c r="J46" i="19"/>
  <c r="O46" i="19" s="1"/>
  <c r="P46" i="19" s="1"/>
  <c r="T46" i="19" s="1"/>
  <c r="I24" i="19"/>
  <c r="J24" i="19" s="1"/>
  <c r="O24" i="19" s="1"/>
  <c r="P24" i="19" s="1"/>
  <c r="Z24" i="19" s="1"/>
  <c r="L22" i="19"/>
  <c r="M22" i="19" s="1"/>
  <c r="AD22" i="19" s="1"/>
  <c r="I20" i="19"/>
  <c r="J20" i="19" s="1"/>
  <c r="O20" i="19" s="1"/>
  <c r="P20" i="19" s="1"/>
  <c r="T20" i="19" s="1"/>
  <c r="I38" i="19"/>
  <c r="J38" i="19" s="1"/>
  <c r="O38" i="19" s="1"/>
  <c r="P38" i="19" s="1"/>
  <c r="Z38" i="19" s="1"/>
  <c r="AP63" i="19"/>
  <c r="AP68" i="19"/>
  <c r="L44" i="19"/>
  <c r="M44" i="19" s="1"/>
  <c r="AF44" i="19" s="1"/>
  <c r="J25" i="19"/>
  <c r="O25" i="19" s="1"/>
  <c r="P25" i="19" s="1"/>
  <c r="T25" i="19" s="1"/>
  <c r="AN68" i="19"/>
  <c r="J35" i="19"/>
  <c r="O35" i="19" s="1"/>
  <c r="P35" i="19" s="1"/>
  <c r="T35" i="19" s="1"/>
  <c r="L42" i="19"/>
  <c r="M42" i="19" s="1"/>
  <c r="AD42" i="19" s="1"/>
  <c r="Y62" i="19"/>
  <c r="AM62" i="19" s="1"/>
  <c r="AB62" i="19"/>
  <c r="AN62" i="19" s="1"/>
  <c r="AO68" i="19"/>
  <c r="S62" i="19"/>
  <c r="AK62" i="19" s="1"/>
  <c r="AF62" i="19"/>
  <c r="AP62" i="19" s="1"/>
  <c r="V62" i="19"/>
  <c r="AL62" i="19" s="1"/>
  <c r="AE63" i="19"/>
  <c r="AO63" i="19" s="1"/>
  <c r="AM65" i="19"/>
  <c r="L48" i="19"/>
  <c r="M48" i="19" s="1"/>
  <c r="AB48" i="19" s="1"/>
  <c r="L51" i="19"/>
  <c r="M51" i="19" s="1"/>
  <c r="AF51" i="19" s="1"/>
  <c r="I34" i="19"/>
  <c r="L34" i="19" s="1"/>
  <c r="M34" i="19" s="1"/>
  <c r="AH34" i="19" s="1"/>
  <c r="L54" i="19"/>
  <c r="M54" i="19" s="1"/>
  <c r="AF54" i="19" s="1"/>
  <c r="I39" i="19"/>
  <c r="J39" i="19" s="1"/>
  <c r="O39" i="19" s="1"/>
  <c r="P39" i="19" s="1"/>
  <c r="W39" i="19" s="1"/>
  <c r="I18" i="19"/>
  <c r="J18" i="19" s="1"/>
  <c r="O18" i="19" s="1"/>
  <c r="P18" i="19" s="1"/>
  <c r="AE18" i="19" s="1"/>
  <c r="I41" i="19"/>
  <c r="L41" i="19" s="1"/>
  <c r="M41" i="19" s="1"/>
  <c r="V41" i="19" s="1"/>
  <c r="I21" i="19"/>
  <c r="L21" i="19" s="1"/>
  <c r="M21" i="19" s="1"/>
  <c r="Y21" i="19" s="1"/>
  <c r="I16" i="19"/>
  <c r="L16" i="19" s="1"/>
  <c r="M16" i="19" s="1"/>
  <c r="S16" i="19" s="1"/>
  <c r="I43" i="19"/>
  <c r="J43" i="19" s="1"/>
  <c r="O43" i="19" s="1"/>
  <c r="P43" i="19" s="1"/>
  <c r="T43" i="19" s="1"/>
  <c r="AK63" i="19"/>
  <c r="AQ63" i="19"/>
  <c r="I17" i="19"/>
  <c r="J17" i="19" s="1"/>
  <c r="O17" i="19" s="1"/>
  <c r="P17" i="19" s="1"/>
  <c r="T17" i="19" s="1"/>
  <c r="J49" i="19"/>
  <c r="O49" i="19" s="1"/>
  <c r="P49" i="19" s="1"/>
  <c r="Z49" i="19" s="1"/>
  <c r="T66" i="19"/>
  <c r="AK66" i="19" s="1"/>
  <c r="AI66" i="19"/>
  <c r="AQ66" i="19" s="1"/>
  <c r="AG66" i="19"/>
  <c r="AP66" i="19" s="1"/>
  <c r="AE65" i="19"/>
  <c r="AO65" i="19" s="1"/>
  <c r="I30" i="19"/>
  <c r="J30" i="19" s="1"/>
  <c r="O30" i="19" s="1"/>
  <c r="P30" i="19" s="1"/>
  <c r="AI65" i="19"/>
  <c r="AQ65" i="19" s="1"/>
  <c r="T65" i="19"/>
  <c r="AK65" i="19" s="1"/>
  <c r="W65" i="19"/>
  <c r="AL65" i="19" s="1"/>
  <c r="AC65" i="19"/>
  <c r="AN65" i="19" s="1"/>
  <c r="AN63" i="19"/>
  <c r="AG65" i="19"/>
  <c r="AP65" i="19" s="1"/>
  <c r="AC66" i="19"/>
  <c r="AN66" i="19" s="1"/>
  <c r="AO62" i="19"/>
  <c r="W66" i="19"/>
  <c r="AL66" i="19" s="1"/>
  <c r="Z66" i="19"/>
  <c r="AM66" i="19" s="1"/>
  <c r="I27" i="19"/>
  <c r="J27" i="19" s="1"/>
  <c r="O27" i="19" s="1"/>
  <c r="P27" i="19" s="1"/>
  <c r="J40" i="19"/>
  <c r="O40" i="19" s="1"/>
  <c r="P40" i="19" s="1"/>
  <c r="AE40" i="19" s="1"/>
  <c r="L26" i="19"/>
  <c r="M26" i="19" s="1"/>
  <c r="V26" i="19" s="1"/>
  <c r="J29" i="19"/>
  <c r="O29" i="19" s="1"/>
  <c r="P29" i="19" s="1"/>
  <c r="AI29" i="19" s="1"/>
  <c r="AQ62" i="19"/>
  <c r="AO66" i="19"/>
  <c r="AC33" i="19"/>
  <c r="AI33" i="19"/>
  <c r="AG33" i="19"/>
  <c r="AE33" i="19"/>
  <c r="AF34" i="19"/>
  <c r="AD52" i="19"/>
  <c r="AH35" i="19"/>
  <c r="AB35" i="19"/>
  <c r="AF35" i="19"/>
  <c r="AD35" i="19"/>
  <c r="AF48" i="19"/>
  <c r="AH55" i="19"/>
  <c r="AD55" i="19"/>
  <c r="AF55" i="19"/>
  <c r="AB55" i="19"/>
  <c r="AE57" i="19"/>
  <c r="AC57" i="19"/>
  <c r="AG57" i="19"/>
  <c r="AI57" i="19"/>
  <c r="AH49" i="19"/>
  <c r="AF49" i="19"/>
  <c r="AB49" i="19"/>
  <c r="AD49" i="19"/>
  <c r="AF46" i="19"/>
  <c r="AB46" i="19"/>
  <c r="AH46" i="19"/>
  <c r="AD46" i="19"/>
  <c r="AH25" i="19"/>
  <c r="AD25" i="19"/>
  <c r="AF25" i="19"/>
  <c r="AB25" i="19"/>
  <c r="AH57" i="19"/>
  <c r="AF57" i="19"/>
  <c r="AD57" i="19"/>
  <c r="AB57" i="19"/>
  <c r="AB29" i="19"/>
  <c r="AH29" i="19"/>
  <c r="AF29" i="19"/>
  <c r="AD29" i="19"/>
  <c r="AD40" i="19"/>
  <c r="AF40" i="19"/>
  <c r="AB40" i="19"/>
  <c r="AH40" i="19"/>
  <c r="AC54" i="19"/>
  <c r="AE54" i="19"/>
  <c r="AI54" i="19"/>
  <c r="AG54" i="19"/>
  <c r="W26" i="19"/>
  <c r="V29" i="19"/>
  <c r="S40" i="19"/>
  <c r="S25" i="19"/>
  <c r="S35" i="19"/>
  <c r="Y49" i="19"/>
  <c r="Y56" i="19"/>
  <c r="T33" i="19"/>
  <c r="V55" i="19"/>
  <c r="V21" i="19"/>
  <c r="S57" i="19"/>
  <c r="T57" i="19"/>
  <c r="S46" i="19"/>
  <c r="Z54" i="19"/>
  <c r="AB41" i="19"/>
  <c r="T26" i="19"/>
  <c r="S29" i="19"/>
  <c r="V40" i="19"/>
  <c r="V25" i="19"/>
  <c r="V35" i="19"/>
  <c r="V49" i="19"/>
  <c r="S56" i="19"/>
  <c r="W33" i="19"/>
  <c r="Y55" i="19"/>
  <c r="W57" i="19"/>
  <c r="V57" i="19"/>
  <c r="Y46" i="19"/>
  <c r="W54" i="19"/>
  <c r="AC29" i="19"/>
  <c r="AH56" i="19"/>
  <c r="AD56" i="19"/>
  <c r="AF56" i="19"/>
  <c r="AB56" i="19"/>
  <c r="AF32" i="19"/>
  <c r="AG26" i="19"/>
  <c r="AI26" i="19"/>
  <c r="AE26" i="19"/>
  <c r="AC26" i="19"/>
  <c r="AE38" i="19"/>
  <c r="Z26" i="19"/>
  <c r="Y29" i="19"/>
  <c r="Z29" i="19"/>
  <c r="Y40" i="19"/>
  <c r="Y25" i="19"/>
  <c r="Y35" i="19"/>
  <c r="S49" i="19"/>
  <c r="V56" i="19"/>
  <c r="Z33" i="19"/>
  <c r="S55" i="19"/>
  <c r="Z57" i="19"/>
  <c r="Y57" i="19"/>
  <c r="V46" i="19"/>
  <c r="T54" i="19"/>
  <c r="I47" i="19"/>
  <c r="I28" i="19"/>
  <c r="L43" i="19"/>
  <c r="M43" i="19" s="1"/>
  <c r="Y43" i="19" s="1"/>
  <c r="L18" i="19"/>
  <c r="M18" i="19" s="1"/>
  <c r="O52" i="19"/>
  <c r="P52" i="19" s="1"/>
  <c r="Z52" i="19" s="1"/>
  <c r="O56" i="19"/>
  <c r="P56" i="19" s="1"/>
  <c r="O45" i="19"/>
  <c r="P45" i="19" s="1"/>
  <c r="W45" i="19" s="1"/>
  <c r="O22" i="19"/>
  <c r="P22" i="19" s="1"/>
  <c r="T22" i="19" s="1"/>
  <c r="O48" i="19"/>
  <c r="P48" i="19" s="1"/>
  <c r="O44" i="19"/>
  <c r="P44" i="19" s="1"/>
  <c r="W44" i="19" s="1"/>
  <c r="O31" i="19"/>
  <c r="P31" i="19" s="1"/>
  <c r="T31" i="19" s="1"/>
  <c r="O51" i="19"/>
  <c r="P51" i="19" s="1"/>
  <c r="O42" i="19"/>
  <c r="P42" i="19" s="1"/>
  <c r="T42" i="19" s="1"/>
  <c r="O55" i="19"/>
  <c r="P55" i="19" s="1"/>
  <c r="O32" i="19"/>
  <c r="P32" i="19" s="1"/>
  <c r="T32" i="19" s="1"/>
  <c r="D131" i="6"/>
  <c r="F131" i="6"/>
  <c r="E131" i="6"/>
  <c r="D128" i="6"/>
  <c r="F128" i="6"/>
  <c r="E128" i="6"/>
  <c r="D127" i="6"/>
  <c r="F127" i="6"/>
  <c r="E127" i="6"/>
  <c r="D98" i="8"/>
  <c r="F98" i="8"/>
  <c r="E98" i="8"/>
  <c r="D97" i="8"/>
  <c r="F97" i="8"/>
  <c r="E97" i="8"/>
  <c r="D96" i="8"/>
  <c r="F96" i="8"/>
  <c r="E96" i="8"/>
  <c r="D95" i="8"/>
  <c r="F95" i="8"/>
  <c r="E95" i="8"/>
  <c r="D94" i="8"/>
  <c r="F94" i="8"/>
  <c r="E94" i="8"/>
  <c r="D93" i="8"/>
  <c r="F93" i="8"/>
  <c r="E93" i="8"/>
  <c r="D91" i="8"/>
  <c r="F91" i="8"/>
  <c r="E91" i="8"/>
  <c r="D90" i="8"/>
  <c r="F90" i="8"/>
  <c r="E90" i="8"/>
  <c r="D89" i="8"/>
  <c r="F89" i="8"/>
  <c r="E89" i="8"/>
  <c r="D88" i="8"/>
  <c r="F88" i="8"/>
  <c r="E88" i="8"/>
  <c r="D87" i="8"/>
  <c r="F87" i="8"/>
  <c r="E87" i="8"/>
  <c r="D86" i="8"/>
  <c r="F86" i="8"/>
  <c r="E86" i="8"/>
  <c r="D85" i="8"/>
  <c r="F85" i="8"/>
  <c r="E85" i="8"/>
  <c r="D84" i="8"/>
  <c r="F84" i="8"/>
  <c r="E84" i="8"/>
  <c r="D83" i="8"/>
  <c r="F83" i="8"/>
  <c r="E83" i="8"/>
  <c r="D81" i="8"/>
  <c r="F81" i="8"/>
  <c r="E81" i="8"/>
  <c r="D80" i="8"/>
  <c r="F80" i="8"/>
  <c r="E80" i="8"/>
  <c r="D79" i="8"/>
  <c r="F79" i="8"/>
  <c r="E79" i="8"/>
  <c r="D77" i="8"/>
  <c r="F77" i="8"/>
  <c r="E77" i="8"/>
  <c r="D76" i="8"/>
  <c r="F76" i="8"/>
  <c r="E76" i="8"/>
  <c r="D75" i="8"/>
  <c r="F75" i="8"/>
  <c r="E75" i="8"/>
  <c r="D74" i="8"/>
  <c r="F74" i="8"/>
  <c r="E74" i="8"/>
  <c r="D73" i="8"/>
  <c r="F73" i="8"/>
  <c r="E73" i="8"/>
  <c r="D72" i="8"/>
  <c r="F72" i="8"/>
  <c r="E72" i="8"/>
  <c r="D71" i="8"/>
  <c r="F71" i="8"/>
  <c r="E71" i="8"/>
  <c r="D70" i="8"/>
  <c r="F70" i="8"/>
  <c r="E70" i="8"/>
  <c r="D69" i="8"/>
  <c r="F69" i="8"/>
  <c r="E69" i="8"/>
  <c r="D68" i="8"/>
  <c r="F68" i="8"/>
  <c r="E68" i="8"/>
  <c r="D67" i="8"/>
  <c r="F67" i="8"/>
  <c r="E67" i="8"/>
  <c r="D64" i="8"/>
  <c r="F64" i="8"/>
  <c r="E64" i="8"/>
  <c r="D63" i="8"/>
  <c r="F63" i="8"/>
  <c r="E63" i="8"/>
  <c r="D62" i="8"/>
  <c r="F62" i="8"/>
  <c r="E62" i="8"/>
  <c r="D61" i="8"/>
  <c r="F61" i="8"/>
  <c r="E61" i="8"/>
  <c r="D60" i="8"/>
  <c r="F60" i="8"/>
  <c r="E60" i="8"/>
  <c r="D59" i="8"/>
  <c r="F59" i="8"/>
  <c r="E59" i="8"/>
  <c r="D58" i="8"/>
  <c r="F58" i="8"/>
  <c r="E58" i="8"/>
  <c r="D57" i="8"/>
  <c r="F57" i="8"/>
  <c r="E57" i="8"/>
  <c r="D56" i="8"/>
  <c r="F56" i="8"/>
  <c r="E56" i="8"/>
  <c r="D55" i="8"/>
  <c r="F55" i="8"/>
  <c r="E55" i="8"/>
  <c r="D54" i="8"/>
  <c r="F54" i="8"/>
  <c r="E54" i="8"/>
  <c r="D53" i="8"/>
  <c r="F53" i="8"/>
  <c r="E53" i="8"/>
  <c r="D52" i="8"/>
  <c r="F52" i="8"/>
  <c r="E52" i="8"/>
  <c r="D50" i="8"/>
  <c r="F50" i="8"/>
  <c r="E50" i="8"/>
  <c r="D49" i="8"/>
  <c r="F49" i="8"/>
  <c r="E49" i="8"/>
  <c r="D47" i="8"/>
  <c r="F47" i="8"/>
  <c r="E47" i="8"/>
  <c r="D46" i="8"/>
  <c r="F46" i="8"/>
  <c r="E46" i="8"/>
  <c r="D45" i="8"/>
  <c r="F45" i="8"/>
  <c r="E45" i="8"/>
  <c r="D44" i="8"/>
  <c r="F44" i="8"/>
  <c r="E44" i="8"/>
  <c r="D43" i="8"/>
  <c r="F43" i="8"/>
  <c r="E43" i="8"/>
  <c r="D42" i="8"/>
  <c r="F42" i="8"/>
  <c r="E42" i="8"/>
  <c r="D41" i="8"/>
  <c r="F41" i="8"/>
  <c r="E41" i="8"/>
  <c r="D40" i="8"/>
  <c r="F40" i="8"/>
  <c r="E40" i="8"/>
  <c r="D39" i="8"/>
  <c r="F39" i="8"/>
  <c r="E39" i="8"/>
  <c r="D38" i="8"/>
  <c r="F38" i="8"/>
  <c r="E38" i="8"/>
  <c r="D36" i="8"/>
  <c r="F36" i="8"/>
  <c r="E36" i="8"/>
  <c r="D35" i="8"/>
  <c r="F35" i="8"/>
  <c r="E35" i="8"/>
  <c r="D34" i="8"/>
  <c r="F34" i="8"/>
  <c r="E34" i="8"/>
  <c r="D32" i="8"/>
  <c r="F32" i="8"/>
  <c r="E32" i="8"/>
  <c r="D31" i="8"/>
  <c r="F31" i="8"/>
  <c r="E31" i="8"/>
  <c r="D30" i="8"/>
  <c r="F30" i="8"/>
  <c r="E30" i="8"/>
  <c r="D29" i="8"/>
  <c r="F29" i="8"/>
  <c r="E29" i="8"/>
  <c r="D28" i="8"/>
  <c r="F28" i="8"/>
  <c r="E28" i="8"/>
  <c r="D27" i="8"/>
  <c r="F27" i="8"/>
  <c r="E27" i="8"/>
  <c r="D26" i="8"/>
  <c r="F26" i="8"/>
  <c r="E26" i="8"/>
  <c r="D25" i="8"/>
  <c r="F25" i="8"/>
  <c r="E25" i="8"/>
  <c r="D24" i="8"/>
  <c r="F24" i="8"/>
  <c r="E24" i="8"/>
  <c r="D22" i="8"/>
  <c r="F22" i="8"/>
  <c r="E22" i="8"/>
  <c r="D21" i="8"/>
  <c r="F21" i="8"/>
  <c r="E21" i="8"/>
  <c r="D20" i="8"/>
  <c r="F20" i="8"/>
  <c r="E20" i="8"/>
  <c r="D19" i="8"/>
  <c r="F19" i="8"/>
  <c r="E19" i="8"/>
  <c r="D17" i="8"/>
  <c r="F17" i="8"/>
  <c r="E17" i="8"/>
  <c r="D16" i="8"/>
  <c r="F16" i="8"/>
  <c r="E16" i="8"/>
  <c r="D126" i="6"/>
  <c r="F126" i="6"/>
  <c r="E126" i="6"/>
  <c r="D125" i="6"/>
  <c r="F125" i="6"/>
  <c r="E125" i="6"/>
  <c r="D124" i="6"/>
  <c r="F124" i="6"/>
  <c r="E124" i="6"/>
  <c r="D123" i="6"/>
  <c r="F123" i="6"/>
  <c r="E123" i="6"/>
  <c r="D122" i="6"/>
  <c r="F122" i="6"/>
  <c r="E122" i="6"/>
  <c r="D121" i="6"/>
  <c r="F121" i="6"/>
  <c r="E121" i="6"/>
  <c r="D119" i="6"/>
  <c r="F119" i="6"/>
  <c r="E119" i="6"/>
  <c r="D118" i="6"/>
  <c r="F118" i="6"/>
  <c r="E118" i="6"/>
  <c r="D117" i="6"/>
  <c r="F117" i="6"/>
  <c r="E117" i="6"/>
  <c r="D116" i="6"/>
  <c r="F116" i="6"/>
  <c r="E116" i="6"/>
  <c r="D115" i="6"/>
  <c r="F115" i="6"/>
  <c r="E115" i="6"/>
  <c r="D114" i="6"/>
  <c r="F114" i="6"/>
  <c r="E114" i="6"/>
  <c r="D113" i="6"/>
  <c r="F113" i="6"/>
  <c r="E113" i="6"/>
  <c r="D112" i="6"/>
  <c r="F112" i="6"/>
  <c r="E112" i="6"/>
  <c r="D111" i="6"/>
  <c r="F111" i="6"/>
  <c r="E111" i="6"/>
  <c r="D109" i="6"/>
  <c r="F109" i="6"/>
  <c r="E109" i="6"/>
  <c r="D108" i="6"/>
  <c r="F108" i="6"/>
  <c r="E108" i="6"/>
  <c r="D107" i="6"/>
  <c r="F107" i="6"/>
  <c r="E107" i="6"/>
  <c r="D105" i="6"/>
  <c r="F105" i="6"/>
  <c r="E105" i="6"/>
  <c r="D104" i="6"/>
  <c r="F104" i="6"/>
  <c r="E104" i="6"/>
  <c r="D103" i="6"/>
  <c r="F103" i="6"/>
  <c r="E103" i="6"/>
  <c r="D102" i="6"/>
  <c r="F102" i="6"/>
  <c r="E102" i="6"/>
  <c r="D101" i="6"/>
  <c r="F101" i="6"/>
  <c r="E101" i="6"/>
  <c r="D100" i="6"/>
  <c r="F100" i="6"/>
  <c r="E100" i="6"/>
  <c r="D99" i="6"/>
  <c r="F99" i="6"/>
  <c r="E99" i="6"/>
  <c r="D98" i="6"/>
  <c r="F98" i="6"/>
  <c r="E98" i="6"/>
  <c r="D97" i="6"/>
  <c r="F97" i="6"/>
  <c r="E97" i="6"/>
  <c r="D96" i="6"/>
  <c r="F96" i="6"/>
  <c r="E96" i="6"/>
  <c r="D95" i="6"/>
  <c r="F95" i="6"/>
  <c r="E95" i="6"/>
  <c r="D93" i="6"/>
  <c r="F93" i="6"/>
  <c r="E93" i="6"/>
  <c r="D91" i="6"/>
  <c r="F91" i="6"/>
  <c r="E91" i="6"/>
  <c r="D90" i="6"/>
  <c r="F90" i="6"/>
  <c r="E90" i="6"/>
  <c r="D89" i="6"/>
  <c r="F89" i="6"/>
  <c r="E89" i="6"/>
  <c r="D88" i="6"/>
  <c r="F88" i="6"/>
  <c r="E88" i="6"/>
  <c r="D87" i="6"/>
  <c r="F87" i="6"/>
  <c r="E87" i="6"/>
  <c r="D86" i="6"/>
  <c r="F86" i="6"/>
  <c r="E86" i="6"/>
  <c r="D85" i="6"/>
  <c r="F85" i="6"/>
  <c r="E85" i="6"/>
  <c r="D84" i="6"/>
  <c r="F84" i="6"/>
  <c r="E84" i="6"/>
  <c r="D83" i="6"/>
  <c r="F83" i="6"/>
  <c r="E83" i="6"/>
  <c r="D82" i="6"/>
  <c r="F82" i="6"/>
  <c r="E82" i="6"/>
  <c r="D81" i="6"/>
  <c r="F81" i="6"/>
  <c r="E81" i="6"/>
  <c r="D80" i="6"/>
  <c r="F80" i="6"/>
  <c r="E80" i="6"/>
  <c r="D78" i="6"/>
  <c r="F78" i="6"/>
  <c r="E78" i="6"/>
  <c r="D77" i="6"/>
  <c r="F77" i="6"/>
  <c r="E77" i="6"/>
  <c r="D75" i="6"/>
  <c r="F75" i="6"/>
  <c r="E75" i="6"/>
  <c r="D74" i="6"/>
  <c r="F74" i="6"/>
  <c r="E74" i="6"/>
  <c r="D73" i="6"/>
  <c r="F73" i="6"/>
  <c r="E73" i="6"/>
  <c r="D72" i="6"/>
  <c r="F72" i="6"/>
  <c r="E72" i="6"/>
  <c r="D71" i="6"/>
  <c r="F71" i="6"/>
  <c r="E71" i="6"/>
  <c r="D70" i="6"/>
  <c r="F70" i="6"/>
  <c r="E70" i="6"/>
  <c r="D69" i="6"/>
  <c r="F69" i="6"/>
  <c r="E69" i="6"/>
  <c r="D68" i="6"/>
  <c r="F68" i="6"/>
  <c r="E68" i="6"/>
  <c r="D67" i="6"/>
  <c r="F67" i="6"/>
  <c r="E67" i="6"/>
  <c r="D66" i="6"/>
  <c r="F66" i="6"/>
  <c r="E66" i="6"/>
  <c r="D64" i="6"/>
  <c r="F64" i="6"/>
  <c r="E64" i="6"/>
  <c r="D63" i="6"/>
  <c r="F63" i="6"/>
  <c r="E63" i="6"/>
  <c r="D62" i="6"/>
  <c r="F62" i="6"/>
  <c r="E62" i="6"/>
  <c r="D60" i="6"/>
  <c r="F60" i="6"/>
  <c r="E60" i="6"/>
  <c r="D59" i="6"/>
  <c r="F59" i="6"/>
  <c r="E59" i="6"/>
  <c r="D58" i="6"/>
  <c r="F58" i="6"/>
  <c r="E58" i="6"/>
  <c r="D57" i="6"/>
  <c r="F57" i="6"/>
  <c r="E57" i="6"/>
  <c r="D56" i="6"/>
  <c r="F56" i="6"/>
  <c r="E56" i="6"/>
  <c r="D55" i="6"/>
  <c r="F55" i="6"/>
  <c r="E55" i="6"/>
  <c r="D54" i="6"/>
  <c r="F54" i="6"/>
  <c r="E54" i="6"/>
  <c r="D53" i="6"/>
  <c r="F53" i="6"/>
  <c r="E53" i="6"/>
  <c r="D52" i="6"/>
  <c r="F52" i="6"/>
  <c r="E52" i="6"/>
  <c r="D50" i="6"/>
  <c r="F50" i="6"/>
  <c r="E50" i="6"/>
  <c r="D49" i="6"/>
  <c r="F49" i="6"/>
  <c r="E49" i="6"/>
  <c r="D48" i="6"/>
  <c r="F48" i="6"/>
  <c r="E48" i="6"/>
  <c r="D47" i="6"/>
  <c r="F47" i="6"/>
  <c r="E47" i="6"/>
  <c r="D45" i="6"/>
  <c r="F45" i="6"/>
  <c r="E45" i="6"/>
  <c r="D44" i="6"/>
  <c r="F44" i="6"/>
  <c r="E44" i="6"/>
  <c r="D43" i="6"/>
  <c r="F43" i="6"/>
  <c r="E43" i="6"/>
  <c r="D42" i="6"/>
  <c r="F42" i="6"/>
  <c r="E42" i="6"/>
  <c r="D41" i="6"/>
  <c r="F41" i="6"/>
  <c r="E41" i="6"/>
  <c r="D40" i="6"/>
  <c r="F40" i="6"/>
  <c r="E40" i="6"/>
  <c r="D39" i="6"/>
  <c r="F39" i="6"/>
  <c r="E39" i="6"/>
  <c r="D38" i="6"/>
  <c r="F38" i="6"/>
  <c r="E38" i="6"/>
  <c r="D36" i="6"/>
  <c r="F36" i="6"/>
  <c r="E36" i="6"/>
  <c r="D35" i="6"/>
  <c r="F35" i="6"/>
  <c r="E35" i="6"/>
  <c r="D34" i="6"/>
  <c r="F34" i="6"/>
  <c r="E34" i="6"/>
  <c r="D33" i="6"/>
  <c r="F33" i="6"/>
  <c r="E33" i="6"/>
  <c r="D32" i="6"/>
  <c r="F32" i="6"/>
  <c r="E32" i="6"/>
  <c r="D30" i="6"/>
  <c r="F30" i="6"/>
  <c r="E30" i="6"/>
  <c r="D29" i="6"/>
  <c r="F29" i="6"/>
  <c r="E29" i="6"/>
  <c r="D28" i="6"/>
  <c r="F28" i="6"/>
  <c r="E28" i="6"/>
  <c r="D27" i="6"/>
  <c r="F27" i="6"/>
  <c r="E27" i="6"/>
  <c r="D26" i="6"/>
  <c r="F26" i="6"/>
  <c r="E26" i="6"/>
  <c r="D25" i="6"/>
  <c r="F25" i="6"/>
  <c r="E25" i="6"/>
  <c r="D24" i="6"/>
  <c r="F24" i="6"/>
  <c r="E24" i="6"/>
  <c r="D22" i="6"/>
  <c r="F22" i="6"/>
  <c r="E22" i="6"/>
  <c r="D21" i="6"/>
  <c r="F21" i="6"/>
  <c r="E21" i="6"/>
  <c r="D20" i="6"/>
  <c r="F20" i="6"/>
  <c r="E20" i="6"/>
  <c r="D19" i="6"/>
  <c r="F19" i="6"/>
  <c r="E19" i="6"/>
  <c r="D18" i="6"/>
  <c r="F18" i="6"/>
  <c r="E18" i="6"/>
  <c r="D16" i="6"/>
  <c r="F16" i="6"/>
  <c r="E16" i="6"/>
  <c r="AG18" i="19" l="1"/>
  <c r="T18" i="19"/>
  <c r="Y52" i="19"/>
  <c r="AB52" i="19"/>
  <c r="L27" i="19"/>
  <c r="M27" i="19" s="1"/>
  <c r="Y27" i="19" s="1"/>
  <c r="S31" i="19"/>
  <c r="AF45" i="19"/>
  <c r="AH31" i="19"/>
  <c r="AC18" i="19"/>
  <c r="AB45" i="19"/>
  <c r="AG29" i="19"/>
  <c r="T29" i="19"/>
  <c r="AB21" i="19"/>
  <c r="AD33" i="19"/>
  <c r="L17" i="19"/>
  <c r="M17" i="19" s="1"/>
  <c r="V17" i="19" s="1"/>
  <c r="AE29" i="19"/>
  <c r="AO29" i="19" s="1"/>
  <c r="W29" i="19"/>
  <c r="Y41" i="19"/>
  <c r="AC25" i="19"/>
  <c r="AN25" i="19" s="1"/>
  <c r="V31" i="19"/>
  <c r="AD31" i="19"/>
  <c r="L20" i="19"/>
  <c r="M20" i="19" s="1"/>
  <c r="AD20" i="19" s="1"/>
  <c r="Y31" i="19"/>
  <c r="S52" i="19"/>
  <c r="AF42" i="19"/>
  <c r="AI18" i="19"/>
  <c r="AH45" i="19"/>
  <c r="AH52" i="19"/>
  <c r="AF31" i="19"/>
  <c r="Z18" i="19"/>
  <c r="V52" i="19"/>
  <c r="W18" i="19"/>
  <c r="AD45" i="19"/>
  <c r="J41" i="19"/>
  <c r="O41" i="19" s="1"/>
  <c r="P41" i="19" s="1"/>
  <c r="AE41" i="19" s="1"/>
  <c r="AI25" i="19"/>
  <c r="AE25" i="19"/>
  <c r="AO25" i="19" s="1"/>
  <c r="W25" i="19"/>
  <c r="AL25" i="19" s="1"/>
  <c r="Y33" i="19"/>
  <c r="AM33" i="19" s="1"/>
  <c r="AG25" i="19"/>
  <c r="S33" i="19"/>
  <c r="AK33" i="19" s="1"/>
  <c r="AB42" i="19"/>
  <c r="V33" i="19"/>
  <c r="AL33" i="19" s="1"/>
  <c r="AB33" i="19"/>
  <c r="AN33" i="19" s="1"/>
  <c r="L24" i="19"/>
  <c r="M24" i="19" s="1"/>
  <c r="AH24" i="19" s="1"/>
  <c r="Y44" i="19"/>
  <c r="AB44" i="19"/>
  <c r="AH42" i="19"/>
  <c r="AF33" i="19"/>
  <c r="AP33" i="19" s="1"/>
  <c r="S44" i="19"/>
  <c r="S54" i="19"/>
  <c r="V42" i="19"/>
  <c r="AD44" i="19"/>
  <c r="AH54" i="19"/>
  <c r="AQ54" i="19" s="1"/>
  <c r="Y42" i="19"/>
  <c r="AH44" i="19"/>
  <c r="V44" i="19"/>
  <c r="AL44" i="19" s="1"/>
  <c r="AD51" i="19"/>
  <c r="S45" i="19"/>
  <c r="S51" i="19"/>
  <c r="S42" i="19"/>
  <c r="AK42" i="19" s="1"/>
  <c r="V45" i="19"/>
  <c r="V51" i="19"/>
  <c r="AH51" i="19"/>
  <c r="J34" i="19"/>
  <c r="O34" i="19" s="1"/>
  <c r="P34" i="19" s="1"/>
  <c r="T34" i="19" s="1"/>
  <c r="AB51" i="19"/>
  <c r="Z25" i="19"/>
  <c r="Y51" i="19"/>
  <c r="AH22" i="19"/>
  <c r="L38" i="19"/>
  <c r="M38" i="19" s="1"/>
  <c r="AH38" i="19" s="1"/>
  <c r="J16" i="19"/>
  <c r="O16" i="19" s="1"/>
  <c r="P16" i="19" s="1"/>
  <c r="AI16" i="19" s="1"/>
  <c r="L39" i="19"/>
  <c r="M39" i="19" s="1"/>
  <c r="V39" i="19" s="1"/>
  <c r="AL39" i="19" s="1"/>
  <c r="V32" i="19"/>
  <c r="Y22" i="19"/>
  <c r="AI38" i="19"/>
  <c r="AB32" i="19"/>
  <c r="S32" i="19"/>
  <c r="AK32" i="19" s="1"/>
  <c r="V22" i="19"/>
  <c r="W40" i="19"/>
  <c r="AL40" i="19" s="1"/>
  <c r="S26" i="19"/>
  <c r="AK26" i="19" s="1"/>
  <c r="Y32" i="19"/>
  <c r="S22" i="19"/>
  <c r="AK22" i="19" s="1"/>
  <c r="AB22" i="19"/>
  <c r="AD34" i="19"/>
  <c r="L30" i="19"/>
  <c r="M30" i="19" s="1"/>
  <c r="S30" i="19" s="1"/>
  <c r="T38" i="19"/>
  <c r="AG38" i="19"/>
  <c r="AD32" i="19"/>
  <c r="W38" i="19"/>
  <c r="AF22" i="19"/>
  <c r="AB34" i="19"/>
  <c r="V34" i="19"/>
  <c r="AC38" i="19"/>
  <c r="S34" i="19"/>
  <c r="Y34" i="19"/>
  <c r="AQ33" i="19"/>
  <c r="J21" i="19"/>
  <c r="O21" i="19" s="1"/>
  <c r="P21" i="19" s="1"/>
  <c r="T21" i="19" s="1"/>
  <c r="AF21" i="19"/>
  <c r="Y48" i="19"/>
  <c r="AH48" i="19"/>
  <c r="S21" i="19"/>
  <c r="AD21" i="19"/>
  <c r="V48" i="19"/>
  <c r="AD48" i="19"/>
  <c r="S48" i="19"/>
  <c r="AH21" i="19"/>
  <c r="V54" i="19"/>
  <c r="AL54" i="19" s="1"/>
  <c r="S41" i="19"/>
  <c r="AH41" i="19"/>
  <c r="AD54" i="19"/>
  <c r="AO54" i="19" s="1"/>
  <c r="Y54" i="19"/>
  <c r="AM54" i="19" s="1"/>
  <c r="AF41" i="19"/>
  <c r="AB54" i="19"/>
  <c r="AN54" i="19" s="1"/>
  <c r="AD41" i="19"/>
  <c r="AO33" i="19"/>
  <c r="AI40" i="19"/>
  <c r="AQ40" i="19" s="1"/>
  <c r="AH26" i="19"/>
  <c r="AQ26" i="19" s="1"/>
  <c r="AP54" i="19"/>
  <c r="AL29" i="19"/>
  <c r="AD26" i="19"/>
  <c r="AO26" i="19" s="1"/>
  <c r="T40" i="19"/>
  <c r="AK40" i="19" s="1"/>
  <c r="AG40" i="19"/>
  <c r="AP40" i="19" s="1"/>
  <c r="AM52" i="19"/>
  <c r="Z40" i="19"/>
  <c r="AM40" i="19" s="1"/>
  <c r="Y26" i="19"/>
  <c r="AM26" i="19" s="1"/>
  <c r="AF26" i="19"/>
  <c r="AP26" i="19" s="1"/>
  <c r="AC40" i="19"/>
  <c r="AN40" i="19" s="1"/>
  <c r="AB26" i="19"/>
  <c r="AN26" i="19" s="1"/>
  <c r="AO57" i="19"/>
  <c r="AK29" i="19"/>
  <c r="AO40" i="19"/>
  <c r="AM57" i="19"/>
  <c r="AL57" i="19"/>
  <c r="AK57" i="19"/>
  <c r="AE27" i="19"/>
  <c r="AG27" i="19"/>
  <c r="AC27" i="19"/>
  <c r="AI27" i="19"/>
  <c r="AI41" i="19"/>
  <c r="AI51" i="19"/>
  <c r="AE51" i="19"/>
  <c r="AG51" i="19"/>
  <c r="AP51" i="19" s="1"/>
  <c r="AC51" i="19"/>
  <c r="AI48" i="19"/>
  <c r="AG48" i="19"/>
  <c r="AP48" i="19" s="1"/>
  <c r="AC48" i="19"/>
  <c r="AN48" i="19" s="1"/>
  <c r="AE48" i="19"/>
  <c r="AE30" i="19"/>
  <c r="AC30" i="19"/>
  <c r="AI30" i="19"/>
  <c r="AG30" i="19"/>
  <c r="Z39" i="19"/>
  <c r="T52" i="19"/>
  <c r="W32" i="19"/>
  <c r="T48" i="19"/>
  <c r="AM25" i="19"/>
  <c r="Z45" i="19"/>
  <c r="AM45" i="19" s="1"/>
  <c r="AK46" i="19"/>
  <c r="Z20" i="19"/>
  <c r="AM49" i="19"/>
  <c r="W51" i="19"/>
  <c r="Y17" i="19"/>
  <c r="W27" i="19"/>
  <c r="AG35" i="19"/>
  <c r="AP35" i="19" s="1"/>
  <c r="AC35" i="19"/>
  <c r="AN35" i="19" s="1"/>
  <c r="AE35" i="19"/>
  <c r="AO35" i="19" s="1"/>
  <c r="AI35" i="19"/>
  <c r="AQ35" i="19" s="1"/>
  <c r="AG32" i="19"/>
  <c r="AP32" i="19" s="1"/>
  <c r="AE32" i="19"/>
  <c r="AC32" i="19"/>
  <c r="AI32" i="19"/>
  <c r="AQ32" i="19" s="1"/>
  <c r="AG55" i="19"/>
  <c r="AP55" i="19" s="1"/>
  <c r="AC55" i="19"/>
  <c r="AN55" i="19" s="1"/>
  <c r="AI55" i="19"/>
  <c r="AQ55" i="19" s="1"/>
  <c r="AE55" i="19"/>
  <c r="AO55" i="19" s="1"/>
  <c r="AG31" i="19"/>
  <c r="AP31" i="19" s="1"/>
  <c r="AC31" i="19"/>
  <c r="AN31" i="19" s="1"/>
  <c r="AE31" i="19"/>
  <c r="AI31" i="19"/>
  <c r="AQ31" i="19" s="1"/>
  <c r="AE44" i="19"/>
  <c r="AO44" i="19" s="1"/>
  <c r="AI44" i="19"/>
  <c r="AQ44" i="19" s="1"/>
  <c r="AG44" i="19"/>
  <c r="AP44" i="19" s="1"/>
  <c r="AC44" i="19"/>
  <c r="AG39" i="19"/>
  <c r="AI39" i="19"/>
  <c r="AC39" i="19"/>
  <c r="AE39" i="19"/>
  <c r="AI56" i="19"/>
  <c r="AQ56" i="19" s="1"/>
  <c r="AE56" i="19"/>
  <c r="AO56" i="19" s="1"/>
  <c r="AC56" i="19"/>
  <c r="AN56" i="19" s="1"/>
  <c r="AG56" i="19"/>
  <c r="AP56" i="19" s="1"/>
  <c r="AB16" i="19"/>
  <c r="AD16" i="19"/>
  <c r="AH16" i="19"/>
  <c r="AF16" i="19"/>
  <c r="AH18" i="19"/>
  <c r="AQ18" i="19" s="1"/>
  <c r="AF18" i="19"/>
  <c r="AP18" i="19" s="1"/>
  <c r="AD18" i="19"/>
  <c r="AO18" i="19" s="1"/>
  <c r="AB18" i="19"/>
  <c r="AN18" i="19" s="1"/>
  <c r="AB38" i="19"/>
  <c r="AH43" i="19"/>
  <c r="AF43" i="19"/>
  <c r="AD43" i="19"/>
  <c r="AB43" i="19"/>
  <c r="T24" i="19"/>
  <c r="T45" i="19"/>
  <c r="AK45" i="19" s="1"/>
  <c r="Z44" i="19"/>
  <c r="W42" i="19"/>
  <c r="AL42" i="19" s="1"/>
  <c r="W30" i="19"/>
  <c r="Y38" i="19"/>
  <c r="AM38" i="19" s="1"/>
  <c r="Z48" i="19"/>
  <c r="T30" i="19"/>
  <c r="AK31" i="19"/>
  <c r="Y20" i="19"/>
  <c r="Z43" i="19"/>
  <c r="AM43" i="19" s="1"/>
  <c r="W55" i="19"/>
  <c r="AL55" i="19" s="1"/>
  <c r="V18" i="19"/>
  <c r="Z56" i="19"/>
  <c r="AM56" i="19" s="1"/>
  <c r="AK35" i="19"/>
  <c r="Z17" i="19"/>
  <c r="V27" i="19"/>
  <c r="AP29" i="19"/>
  <c r="AP25" i="19"/>
  <c r="AC24" i="19"/>
  <c r="AI24" i="19"/>
  <c r="AG24" i="19"/>
  <c r="AE24" i="19"/>
  <c r="AG42" i="19"/>
  <c r="AP42" i="19" s="1"/>
  <c r="AE42" i="19"/>
  <c r="AO42" i="19" s="1"/>
  <c r="AC42" i="19"/>
  <c r="AI42" i="19"/>
  <c r="AG49" i="19"/>
  <c r="AP49" i="19" s="1"/>
  <c r="AC49" i="19"/>
  <c r="AN49" i="19" s="1"/>
  <c r="AE49" i="19"/>
  <c r="AO49" i="19" s="1"/>
  <c r="AI49" i="19"/>
  <c r="AQ49" i="19" s="1"/>
  <c r="AI22" i="19"/>
  <c r="AG22" i="19"/>
  <c r="AE22" i="19"/>
  <c r="AO22" i="19" s="1"/>
  <c r="AC22" i="19"/>
  <c r="AG52" i="19"/>
  <c r="AP52" i="19" s="1"/>
  <c r="AI52" i="19"/>
  <c r="AE52" i="19"/>
  <c r="AO52" i="19" s="1"/>
  <c r="AC52" i="19"/>
  <c r="AN52" i="19" s="1"/>
  <c r="AH39" i="19"/>
  <c r="W20" i="19"/>
  <c r="V43" i="19"/>
  <c r="T49" i="19"/>
  <c r="AK49" i="19" s="1"/>
  <c r="Z22" i="19"/>
  <c r="T51" i="19"/>
  <c r="T27" i="19"/>
  <c r="W31" i="19"/>
  <c r="Y18" i="19"/>
  <c r="W49" i="19"/>
  <c r="AL49" i="19" s="1"/>
  <c r="W35" i="19"/>
  <c r="AL35" i="19" s="1"/>
  <c r="Z51" i="19"/>
  <c r="AM51" i="19" s="1"/>
  <c r="W52" i="19"/>
  <c r="AL52" i="19" s="1"/>
  <c r="Z32" i="19"/>
  <c r="T44" i="19"/>
  <c r="AK44" i="19" s="1"/>
  <c r="Z30" i="19"/>
  <c r="AQ29" i="19"/>
  <c r="AP57" i="19"/>
  <c r="AN57" i="19"/>
  <c r="AG20" i="19"/>
  <c r="AI20" i="19"/>
  <c r="AE20" i="19"/>
  <c r="AC20" i="19"/>
  <c r="AG46" i="19"/>
  <c r="AP46" i="19" s="1"/>
  <c r="AC46" i="19"/>
  <c r="AN46" i="19" s="1"/>
  <c r="AE46" i="19"/>
  <c r="AO46" i="19" s="1"/>
  <c r="AI46" i="19"/>
  <c r="AQ46" i="19" s="1"/>
  <c r="AC17" i="19"/>
  <c r="AE17" i="19"/>
  <c r="AI17" i="19"/>
  <c r="AG17" i="19"/>
  <c r="AI45" i="19"/>
  <c r="AQ45" i="19" s="1"/>
  <c r="AG45" i="19"/>
  <c r="AP45" i="19" s="1"/>
  <c r="AE45" i="19"/>
  <c r="AO45" i="19" s="1"/>
  <c r="AC45" i="19"/>
  <c r="AN45" i="19" s="1"/>
  <c r="AE43" i="19"/>
  <c r="AC43" i="19"/>
  <c r="AI43" i="19"/>
  <c r="AG43" i="19"/>
  <c r="AF17" i="19"/>
  <c r="AH17" i="19"/>
  <c r="AD17" i="19"/>
  <c r="AB17" i="19"/>
  <c r="AH27" i="19"/>
  <c r="AF27" i="19"/>
  <c r="AD27" i="19"/>
  <c r="AB27" i="19"/>
  <c r="AK54" i="19"/>
  <c r="W46" i="19"/>
  <c r="AL46" i="19" s="1"/>
  <c r="Z31" i="19"/>
  <c r="AM31" i="19" s="1"/>
  <c r="V20" i="19"/>
  <c r="W43" i="19"/>
  <c r="T55" i="19"/>
  <c r="AK55" i="19" s="1"/>
  <c r="S18" i="19"/>
  <c r="AK18" i="19" s="1"/>
  <c r="W56" i="19"/>
  <c r="AL56" i="19" s="1"/>
  <c r="Z35" i="19"/>
  <c r="AM35" i="19" s="1"/>
  <c r="Y16" i="19"/>
  <c r="S17" i="19"/>
  <c r="AK17" i="19" s="1"/>
  <c r="S27" i="19"/>
  <c r="AM29" i="19"/>
  <c r="Z46" i="19"/>
  <c r="AM46" i="19" s="1"/>
  <c r="S20" i="19"/>
  <c r="AK20" i="19" s="1"/>
  <c r="S43" i="19"/>
  <c r="AK43" i="19" s="1"/>
  <c r="Z55" i="19"/>
  <c r="AM55" i="19" s="1"/>
  <c r="T56" i="19"/>
  <c r="AK56" i="19" s="1"/>
  <c r="W22" i="19"/>
  <c r="V16" i="19"/>
  <c r="W17" i="19"/>
  <c r="AL17" i="19" s="1"/>
  <c r="Z27" i="19"/>
  <c r="AM27" i="19" s="1"/>
  <c r="W24" i="19"/>
  <c r="AL45" i="19"/>
  <c r="T39" i="19"/>
  <c r="Z42" i="19"/>
  <c r="AM42" i="19" s="1"/>
  <c r="W48" i="19"/>
  <c r="AL48" i="19" s="1"/>
  <c r="AK25" i="19"/>
  <c r="AL26" i="19"/>
  <c r="AN29" i="19"/>
  <c r="AQ57" i="19"/>
  <c r="AQ25" i="19"/>
  <c r="L28" i="19"/>
  <c r="M28" i="19" s="1"/>
  <c r="J28" i="19"/>
  <c r="O28" i="19" s="1"/>
  <c r="P28" i="19" s="1"/>
  <c r="J47" i="19"/>
  <c r="O47" i="19" s="1"/>
  <c r="P47" i="19" s="1"/>
  <c r="L47" i="19"/>
  <c r="M47" i="19" s="1"/>
  <c r="G71" i="8"/>
  <c r="H71" i="8" s="1"/>
  <c r="I71" i="8" s="1"/>
  <c r="G29" i="8"/>
  <c r="G128" i="6"/>
  <c r="H128" i="6" s="1"/>
  <c r="I128" i="6" s="1"/>
  <c r="G76" i="8"/>
  <c r="H76" i="8" s="1"/>
  <c r="I76" i="8" s="1"/>
  <c r="J76" i="8" s="1"/>
  <c r="G77" i="8"/>
  <c r="H77" i="8" s="1"/>
  <c r="I77" i="8" s="1"/>
  <c r="L77" i="8" s="1"/>
  <c r="M77" i="8" s="1"/>
  <c r="G81" i="8"/>
  <c r="G30" i="8"/>
  <c r="H30" i="8" s="1"/>
  <c r="I30" i="8" s="1"/>
  <c r="G38" i="8"/>
  <c r="H38" i="8" s="1"/>
  <c r="I38" i="8" s="1"/>
  <c r="J38" i="8" s="1"/>
  <c r="G44" i="8"/>
  <c r="H44" i="8" s="1"/>
  <c r="I44" i="8" s="1"/>
  <c r="G39" i="8"/>
  <c r="H39" i="8" s="1"/>
  <c r="I39" i="8" s="1"/>
  <c r="L39" i="8" s="1"/>
  <c r="M39" i="8" s="1"/>
  <c r="G72" i="8"/>
  <c r="H72" i="8" s="1"/>
  <c r="I72" i="8" s="1"/>
  <c r="G42" i="8"/>
  <c r="H42" i="8" s="1"/>
  <c r="I42" i="8" s="1"/>
  <c r="J42" i="8" s="1"/>
  <c r="G25" i="8"/>
  <c r="G54" i="8"/>
  <c r="H54" i="8" s="1"/>
  <c r="I54" i="8" s="1"/>
  <c r="G64" i="8"/>
  <c r="H64" i="8" s="1"/>
  <c r="I64" i="8" s="1"/>
  <c r="G88" i="8"/>
  <c r="G93" i="8"/>
  <c r="H93" i="8" s="1"/>
  <c r="I93" i="8" s="1"/>
  <c r="G97" i="8"/>
  <c r="H97" i="8" s="1"/>
  <c r="I97" i="8" s="1"/>
  <c r="G19" i="8"/>
  <c r="H19" i="8" s="1"/>
  <c r="I19" i="8" s="1"/>
  <c r="G24" i="8"/>
  <c r="U24" i="8" s="1"/>
  <c r="G34" i="8"/>
  <c r="H34" i="8" s="1"/>
  <c r="I34" i="8" s="1"/>
  <c r="L34" i="8" s="1"/>
  <c r="M34" i="8" s="1"/>
  <c r="G40" i="8"/>
  <c r="H40" i="8" s="1"/>
  <c r="I40" i="8" s="1"/>
  <c r="J40" i="8" s="1"/>
  <c r="G79" i="8"/>
  <c r="H79" i="8" s="1"/>
  <c r="I79" i="8" s="1"/>
  <c r="J79" i="8" s="1"/>
  <c r="G16" i="8"/>
  <c r="G20" i="8"/>
  <c r="H20" i="8" s="1"/>
  <c r="I20" i="8" s="1"/>
  <c r="J20" i="8" s="1"/>
  <c r="G26" i="8"/>
  <c r="H26" i="8" s="1"/>
  <c r="I26" i="8" s="1"/>
  <c r="L26" i="8" s="1"/>
  <c r="M26" i="8" s="1"/>
  <c r="G27" i="8"/>
  <c r="H27" i="8" s="1"/>
  <c r="I27" i="8" s="1"/>
  <c r="G32" i="8"/>
  <c r="G49" i="8"/>
  <c r="H49" i="8" s="1"/>
  <c r="I49" i="8" s="1"/>
  <c r="G50" i="8"/>
  <c r="H50" i="8" s="1"/>
  <c r="I50" i="8" s="1"/>
  <c r="L50" i="8" s="1"/>
  <c r="M50" i="8" s="1"/>
  <c r="G63" i="8"/>
  <c r="H63" i="8" s="1"/>
  <c r="I63" i="8" s="1"/>
  <c r="L63" i="8" s="1"/>
  <c r="M63" i="8" s="1"/>
  <c r="G87" i="8"/>
  <c r="G90" i="8"/>
  <c r="H90" i="8" s="1"/>
  <c r="I90" i="8" s="1"/>
  <c r="G91" i="8"/>
  <c r="H91" i="8" s="1"/>
  <c r="I91" i="8" s="1"/>
  <c r="L91" i="8" s="1"/>
  <c r="M91" i="8" s="1"/>
  <c r="G96" i="8"/>
  <c r="H96" i="8" s="1"/>
  <c r="I96" i="8" s="1"/>
  <c r="J96" i="8" s="1"/>
  <c r="G21" i="8"/>
  <c r="G22" i="8"/>
  <c r="H22" i="8" s="1"/>
  <c r="I22" i="8" s="1"/>
  <c r="G28" i="8"/>
  <c r="H28" i="8" s="1"/>
  <c r="I28" i="8" s="1"/>
  <c r="G31" i="8"/>
  <c r="G35" i="8"/>
  <c r="H35" i="8" s="1"/>
  <c r="I35" i="8" s="1"/>
  <c r="G36" i="8"/>
  <c r="H36" i="8" s="1"/>
  <c r="I36" i="8" s="1"/>
  <c r="G46" i="8"/>
  <c r="H46" i="8" s="1"/>
  <c r="I46" i="8" s="1"/>
  <c r="G52" i="8"/>
  <c r="G57" i="8"/>
  <c r="H57" i="8" s="1"/>
  <c r="I57" i="8" s="1"/>
  <c r="G58" i="8"/>
  <c r="H58" i="8" s="1"/>
  <c r="I58" i="8" s="1"/>
  <c r="G68" i="8"/>
  <c r="H68" i="8" s="1"/>
  <c r="I68" i="8" s="1"/>
  <c r="G89" i="8"/>
  <c r="H89" i="8" s="1"/>
  <c r="I89" i="8" s="1"/>
  <c r="G112" i="6"/>
  <c r="R112" i="6" s="1"/>
  <c r="G121" i="6"/>
  <c r="H121" i="6" s="1"/>
  <c r="I121" i="6" s="1"/>
  <c r="G102" i="6"/>
  <c r="R102" i="6" s="1"/>
  <c r="G20" i="6"/>
  <c r="R20" i="6" s="1"/>
  <c r="G29" i="6"/>
  <c r="R29" i="6" s="1"/>
  <c r="G101" i="6"/>
  <c r="H101" i="6" s="1"/>
  <c r="I101" i="6" s="1"/>
  <c r="G105" i="6"/>
  <c r="H105" i="6" s="1"/>
  <c r="I105" i="6" s="1"/>
  <c r="L105" i="6" s="1"/>
  <c r="M105" i="6" s="1"/>
  <c r="G125" i="6"/>
  <c r="H125" i="6" s="1"/>
  <c r="I125" i="6" s="1"/>
  <c r="G127" i="6"/>
  <c r="R127" i="6" s="1"/>
  <c r="G35" i="6"/>
  <c r="R35" i="6" s="1"/>
  <c r="G73" i="6"/>
  <c r="H73" i="6" s="1"/>
  <c r="I73" i="6" s="1"/>
  <c r="G74" i="6"/>
  <c r="H74" i="6" s="1"/>
  <c r="I74" i="6" s="1"/>
  <c r="G85" i="6"/>
  <c r="R85" i="6" s="1"/>
  <c r="G96" i="6"/>
  <c r="R96" i="6" s="1"/>
  <c r="G54" i="6"/>
  <c r="H54" i="6" s="1"/>
  <c r="G84" i="6"/>
  <c r="H84" i="6" s="1"/>
  <c r="I84" i="6" s="1"/>
  <c r="G49" i="6"/>
  <c r="H49" i="6" s="1"/>
  <c r="G116" i="6"/>
  <c r="H116" i="6" s="1"/>
  <c r="I116" i="6" s="1"/>
  <c r="G89" i="6"/>
  <c r="H89" i="6" s="1"/>
  <c r="I89" i="6" s="1"/>
  <c r="G109" i="6"/>
  <c r="H109" i="6" s="1"/>
  <c r="I109" i="6" s="1"/>
  <c r="G95" i="6"/>
  <c r="H95" i="6" s="1"/>
  <c r="I95" i="6" s="1"/>
  <c r="G104" i="6"/>
  <c r="H104" i="6" s="1"/>
  <c r="G21" i="6"/>
  <c r="H21" i="6" s="1"/>
  <c r="I21" i="6" s="1"/>
  <c r="G42" i="6"/>
  <c r="H42" i="6" s="1"/>
  <c r="I42" i="6" s="1"/>
  <c r="G56" i="6"/>
  <c r="R56" i="6" s="1"/>
  <c r="G16" i="6"/>
  <c r="R16" i="6" s="1"/>
  <c r="G19" i="6"/>
  <c r="R19" i="6" s="1"/>
  <c r="G38" i="6"/>
  <c r="H38" i="6" s="1"/>
  <c r="I38" i="6" s="1"/>
  <c r="G44" i="6"/>
  <c r="R44" i="6" s="1"/>
  <c r="G47" i="6"/>
  <c r="R47" i="6" s="1"/>
  <c r="G66" i="6"/>
  <c r="H66" i="6" s="1"/>
  <c r="I66" i="6" s="1"/>
  <c r="G67" i="6"/>
  <c r="H67" i="6" s="1"/>
  <c r="I67" i="6" s="1"/>
  <c r="G26" i="6"/>
  <c r="H26" i="6" s="1"/>
  <c r="I26" i="6" s="1"/>
  <c r="G64" i="6"/>
  <c r="R64" i="6" s="1"/>
  <c r="G77" i="6"/>
  <c r="H77" i="6" s="1"/>
  <c r="I77" i="6" s="1"/>
  <c r="G82" i="6"/>
  <c r="H82" i="6" s="1"/>
  <c r="I82" i="6" s="1"/>
  <c r="G88" i="6"/>
  <c r="H88" i="6" s="1"/>
  <c r="I88" i="6" s="1"/>
  <c r="G93" i="6"/>
  <c r="H93" i="6" s="1"/>
  <c r="I93" i="6" s="1"/>
  <c r="G111" i="6"/>
  <c r="H111" i="6" s="1"/>
  <c r="I111" i="6" s="1"/>
  <c r="J111" i="6" s="1"/>
  <c r="G118" i="6"/>
  <c r="R118" i="6" s="1"/>
  <c r="G124" i="6"/>
  <c r="R124" i="6" s="1"/>
  <c r="G75" i="6"/>
  <c r="R75" i="6" s="1"/>
  <c r="G90" i="6"/>
  <c r="H90" i="6" s="1"/>
  <c r="I90" i="6" s="1"/>
  <c r="G100" i="6"/>
  <c r="H100" i="6" s="1"/>
  <c r="I100" i="6" s="1"/>
  <c r="G114" i="6"/>
  <c r="H114" i="6" s="1"/>
  <c r="G122" i="6"/>
  <c r="H122" i="6" s="1"/>
  <c r="I122" i="6" s="1"/>
  <c r="G131" i="6"/>
  <c r="H131" i="6" s="1"/>
  <c r="I131" i="6" s="1"/>
  <c r="G56" i="8"/>
  <c r="H56" i="8" s="1"/>
  <c r="I56" i="8" s="1"/>
  <c r="G60" i="8"/>
  <c r="H60" i="8" s="1"/>
  <c r="I60" i="8" s="1"/>
  <c r="G83" i="8"/>
  <c r="G17" i="8"/>
  <c r="H17" i="8" s="1"/>
  <c r="I17" i="8" s="1"/>
  <c r="G53" i="8"/>
  <c r="H53" i="8" s="1"/>
  <c r="I53" i="8" s="1"/>
  <c r="G62" i="8"/>
  <c r="H62" i="8" s="1"/>
  <c r="I62" i="8" s="1"/>
  <c r="G70" i="8"/>
  <c r="H70" i="8" s="1"/>
  <c r="I70" i="8" s="1"/>
  <c r="G74" i="8"/>
  <c r="H74" i="8" s="1"/>
  <c r="I74" i="8" s="1"/>
  <c r="G84" i="8"/>
  <c r="G86" i="8"/>
  <c r="H86" i="8" s="1"/>
  <c r="I86" i="8" s="1"/>
  <c r="G30" i="6"/>
  <c r="H30" i="6" s="1"/>
  <c r="I30" i="6" s="1"/>
  <c r="G33" i="6"/>
  <c r="H33" i="6" s="1"/>
  <c r="I33" i="6" s="1"/>
  <c r="G43" i="6"/>
  <c r="H43" i="6" s="1"/>
  <c r="I43" i="6" s="1"/>
  <c r="G45" i="6"/>
  <c r="H45" i="6" s="1"/>
  <c r="I45" i="6" s="1"/>
  <c r="G55" i="6"/>
  <c r="H55" i="6" s="1"/>
  <c r="I55" i="6" s="1"/>
  <c r="G59" i="6"/>
  <c r="R59" i="6" s="1"/>
  <c r="G60" i="6"/>
  <c r="H60" i="6" s="1"/>
  <c r="I60" i="6" s="1"/>
  <c r="G62" i="6"/>
  <c r="H62" i="6" s="1"/>
  <c r="I62" i="6" s="1"/>
  <c r="G68" i="6"/>
  <c r="H68" i="6" s="1"/>
  <c r="I68" i="6" s="1"/>
  <c r="G72" i="6"/>
  <c r="X72" i="6" s="1"/>
  <c r="G78" i="6"/>
  <c r="H78" i="6" s="1"/>
  <c r="I78" i="6" s="1"/>
  <c r="G80" i="6"/>
  <c r="R80" i="6" s="1"/>
  <c r="G81" i="6"/>
  <c r="R81" i="6" s="1"/>
  <c r="G86" i="6"/>
  <c r="H86" i="6" s="1"/>
  <c r="I86" i="6" s="1"/>
  <c r="G98" i="6"/>
  <c r="H98" i="6" s="1"/>
  <c r="I98" i="6" s="1"/>
  <c r="G99" i="6"/>
  <c r="H99" i="6" s="1"/>
  <c r="I99" i="6" s="1"/>
  <c r="G107" i="6"/>
  <c r="H107" i="6" s="1"/>
  <c r="I107" i="6" s="1"/>
  <c r="G115" i="6"/>
  <c r="R115" i="6" s="1"/>
  <c r="G123" i="6"/>
  <c r="H123" i="6" s="1"/>
  <c r="I123" i="6" s="1"/>
  <c r="G24" i="6"/>
  <c r="R24" i="6" s="1"/>
  <c r="G28" i="6"/>
  <c r="R28" i="6" s="1"/>
  <c r="G34" i="6"/>
  <c r="H34" i="6" s="1"/>
  <c r="I34" i="6" s="1"/>
  <c r="G40" i="6"/>
  <c r="R40" i="6" s="1"/>
  <c r="G48" i="6"/>
  <c r="R48" i="6" s="1"/>
  <c r="G52" i="6"/>
  <c r="R52" i="6" s="1"/>
  <c r="G57" i="6"/>
  <c r="R57" i="6" s="1"/>
  <c r="G58" i="6"/>
  <c r="H58" i="6" s="1"/>
  <c r="I58" i="6" s="1"/>
  <c r="G63" i="6"/>
  <c r="R63" i="6" s="1"/>
  <c r="G69" i="6"/>
  <c r="R69" i="6" s="1"/>
  <c r="G70" i="6"/>
  <c r="H70" i="6" s="1"/>
  <c r="I70" i="6" s="1"/>
  <c r="G71" i="6"/>
  <c r="H71" i="6" s="1"/>
  <c r="I71" i="6" s="1"/>
  <c r="G41" i="8"/>
  <c r="H41" i="8" s="1"/>
  <c r="I41" i="8" s="1"/>
  <c r="G45" i="8"/>
  <c r="H45" i="8" s="1"/>
  <c r="I45" i="8" s="1"/>
  <c r="G55" i="8"/>
  <c r="R55" i="8" s="1"/>
  <c r="G61" i="8"/>
  <c r="H61" i="8" s="1"/>
  <c r="I61" i="8" s="1"/>
  <c r="G75" i="8"/>
  <c r="H75" i="8" s="1"/>
  <c r="I75" i="8" s="1"/>
  <c r="G43" i="8"/>
  <c r="G47" i="8"/>
  <c r="H47" i="8" s="1"/>
  <c r="I47" i="8" s="1"/>
  <c r="G95" i="8"/>
  <c r="R95" i="8" s="1"/>
  <c r="L96" i="8"/>
  <c r="M96" i="8" s="1"/>
  <c r="G59" i="8"/>
  <c r="H59" i="8" s="1"/>
  <c r="I59" i="8" s="1"/>
  <c r="G69" i="8"/>
  <c r="G73" i="8"/>
  <c r="H73" i="8" s="1"/>
  <c r="I73" i="8" s="1"/>
  <c r="G80" i="8"/>
  <c r="H80" i="8" s="1"/>
  <c r="I80" i="8" s="1"/>
  <c r="G67" i="8"/>
  <c r="G85" i="8"/>
  <c r="H85" i="8" s="1"/>
  <c r="I85" i="8" s="1"/>
  <c r="G94" i="8"/>
  <c r="H94" i="8" s="1"/>
  <c r="I94" i="8" s="1"/>
  <c r="G98" i="8"/>
  <c r="R98" i="8" s="1"/>
  <c r="G27" i="6"/>
  <c r="H27" i="6" s="1"/>
  <c r="I27" i="6" s="1"/>
  <c r="G41" i="6"/>
  <c r="R41" i="6" s="1"/>
  <c r="L95" i="6"/>
  <c r="M95" i="6" s="1"/>
  <c r="G18" i="6"/>
  <c r="H18" i="6" s="1"/>
  <c r="I18" i="6" s="1"/>
  <c r="G32" i="6"/>
  <c r="R32" i="6" s="1"/>
  <c r="I54" i="6"/>
  <c r="G25" i="6"/>
  <c r="R25" i="6" s="1"/>
  <c r="G39" i="6"/>
  <c r="H39" i="6" s="1"/>
  <c r="I39" i="6" s="1"/>
  <c r="I49" i="6"/>
  <c r="G53" i="6"/>
  <c r="R53" i="6" s="1"/>
  <c r="G22" i="6"/>
  <c r="H22" i="6" s="1"/>
  <c r="I22" i="6" s="1"/>
  <c r="G36" i="6"/>
  <c r="R36" i="6" s="1"/>
  <c r="G50" i="6"/>
  <c r="H50" i="6" s="1"/>
  <c r="I50" i="6" s="1"/>
  <c r="G91" i="6"/>
  <c r="R91" i="6" s="1"/>
  <c r="I104" i="6"/>
  <c r="G119" i="6"/>
  <c r="R119" i="6" s="1"/>
  <c r="G108" i="6"/>
  <c r="R108" i="6" s="1"/>
  <c r="I114" i="6"/>
  <c r="G83" i="6"/>
  <c r="H83" i="6" s="1"/>
  <c r="I83" i="6" s="1"/>
  <c r="G87" i="6"/>
  <c r="R87" i="6" s="1"/>
  <c r="G97" i="6"/>
  <c r="R97" i="6" s="1"/>
  <c r="G103" i="6"/>
  <c r="R103" i="6" s="1"/>
  <c r="G113" i="6"/>
  <c r="R113" i="6" s="1"/>
  <c r="G117" i="6"/>
  <c r="H117" i="6" s="1"/>
  <c r="I117" i="6" s="1"/>
  <c r="G126" i="6"/>
  <c r="H126" i="6" s="1"/>
  <c r="I126" i="6" s="1"/>
  <c r="AN22" i="19" l="1"/>
  <c r="T16" i="19"/>
  <c r="AK16" i="19" s="1"/>
  <c r="AD38" i="19"/>
  <c r="AO38" i="19" s="1"/>
  <c r="AF20" i="19"/>
  <c r="AO51" i="19"/>
  <c r="AN42" i="19"/>
  <c r="AM44" i="19"/>
  <c r="AB20" i="19"/>
  <c r="AN20" i="19" s="1"/>
  <c r="Z34" i="19"/>
  <c r="AM34" i="19" s="1"/>
  <c r="AM32" i="19"/>
  <c r="AQ22" i="19"/>
  <c r="AL18" i="19"/>
  <c r="AB30" i="19"/>
  <c r="W34" i="19"/>
  <c r="AG41" i="19"/>
  <c r="AP41" i="19" s="1"/>
  <c r="J105" i="6"/>
  <c r="J78" i="6"/>
  <c r="L43" i="6"/>
  <c r="M43" i="6" s="1"/>
  <c r="J34" i="6"/>
  <c r="O34" i="6" s="1"/>
  <c r="P34" i="6" s="1"/>
  <c r="L89" i="6"/>
  <c r="M89" i="6" s="1"/>
  <c r="AD89" i="6" s="1"/>
  <c r="J73" i="6"/>
  <c r="L116" i="6"/>
  <c r="M116" i="6" s="1"/>
  <c r="AH116" i="6" s="1"/>
  <c r="L99" i="6"/>
  <c r="M99" i="6" s="1"/>
  <c r="AH99" i="6" s="1"/>
  <c r="J95" i="6"/>
  <c r="O95" i="6" s="1"/>
  <c r="P95" i="6" s="1"/>
  <c r="AH20" i="19"/>
  <c r="AC16" i="19"/>
  <c r="AN16" i="19" s="1"/>
  <c r="AC41" i="19"/>
  <c r="AN41" i="19" s="1"/>
  <c r="V38" i="19"/>
  <c r="AL38" i="19" s="1"/>
  <c r="AL22" i="19"/>
  <c r="T41" i="19"/>
  <c r="AK41" i="19" s="1"/>
  <c r="Z41" i="19"/>
  <c r="AM41" i="19" s="1"/>
  <c r="AM18" i="19"/>
  <c r="AM22" i="19"/>
  <c r="AI21" i="19"/>
  <c r="AQ21" i="19" s="1"/>
  <c r="W41" i="19"/>
  <c r="AL41" i="19" s="1"/>
  <c r="S38" i="19"/>
  <c r="AK38" i="19" s="1"/>
  <c r="AF38" i="19"/>
  <c r="AP38" i="19" s="1"/>
  <c r="AO31" i="19"/>
  <c r="AN51" i="19"/>
  <c r="AQ42" i="19"/>
  <c r="AN38" i="19"/>
  <c r="AK52" i="19"/>
  <c r="AL34" i="19"/>
  <c r="AL31" i="19"/>
  <c r="AF39" i="19"/>
  <c r="AP39" i="19" s="1"/>
  <c r="AQ52" i="19"/>
  <c r="AQ51" i="19"/>
  <c r="Y24" i="19"/>
  <c r="AM24" i="19" s="1"/>
  <c r="AL32" i="19"/>
  <c r="Y39" i="19"/>
  <c r="AM39" i="19" s="1"/>
  <c r="AL51" i="19"/>
  <c r="S39" i="19"/>
  <c r="AK39" i="19" s="1"/>
  <c r="AB39" i="19"/>
  <c r="S24" i="19"/>
  <c r="AK24" i="19" s="1"/>
  <c r="V24" i="19"/>
  <c r="AL24" i="19" s="1"/>
  <c r="AD39" i="19"/>
  <c r="AO39" i="19" s="1"/>
  <c r="AB24" i="19"/>
  <c r="AN24" i="19" s="1"/>
  <c r="AQ48" i="19"/>
  <c r="AF24" i="19"/>
  <c r="AP24" i="19" s="1"/>
  <c r="AE34" i="19"/>
  <c r="AO34" i="19" s="1"/>
  <c r="AD24" i="19"/>
  <c r="AO24" i="19" s="1"/>
  <c r="AC34" i="19"/>
  <c r="AN34" i="19" s="1"/>
  <c r="AM48" i="19"/>
  <c r="AG34" i="19"/>
  <c r="AP34" i="19" s="1"/>
  <c r="AN32" i="19"/>
  <c r="AI34" i="19"/>
  <c r="AQ34" i="19" s="1"/>
  <c r="AO32" i="19"/>
  <c r="AK51" i="19"/>
  <c r="AP22" i="19"/>
  <c r="AN44" i="19"/>
  <c r="AQ38" i="19"/>
  <c r="J43" i="6"/>
  <c r="O43" i="6" s="1"/>
  <c r="P43" i="6" s="1"/>
  <c r="J99" i="6"/>
  <c r="J77" i="8"/>
  <c r="J34" i="8"/>
  <c r="O34" i="8" s="1"/>
  <c r="P34" i="8" s="1"/>
  <c r="AQ41" i="19"/>
  <c r="AF30" i="19"/>
  <c r="AP30" i="19" s="1"/>
  <c r="AG21" i="19"/>
  <c r="AP21" i="19" s="1"/>
  <c r="AK30" i="19"/>
  <c r="AK34" i="19"/>
  <c r="AE16" i="19"/>
  <c r="AO16" i="19" s="1"/>
  <c r="AH30" i="19"/>
  <c r="AQ30" i="19" s="1"/>
  <c r="W21" i="19"/>
  <c r="AL21" i="19" s="1"/>
  <c r="Z16" i="19"/>
  <c r="AM16" i="19" s="1"/>
  <c r="AC21" i="19"/>
  <c r="AN21" i="19" s="1"/>
  <c r="AG16" i="19"/>
  <c r="AP16" i="19" s="1"/>
  <c r="AO48" i="19"/>
  <c r="Y30" i="19"/>
  <c r="AM30" i="19" s="1"/>
  <c r="AD30" i="19"/>
  <c r="AO30" i="19" s="1"/>
  <c r="W16" i="19"/>
  <c r="AL16" i="19" s="1"/>
  <c r="AE21" i="19"/>
  <c r="AO21" i="19" s="1"/>
  <c r="Z21" i="19"/>
  <c r="AM21" i="19" s="1"/>
  <c r="V30" i="19"/>
  <c r="AL30" i="19" s="1"/>
  <c r="AK21" i="19"/>
  <c r="AK48" i="19"/>
  <c r="AO41" i="19"/>
  <c r="AN43" i="19"/>
  <c r="AP27" i="19"/>
  <c r="AN30" i="19"/>
  <c r="AO27" i="19"/>
  <c r="AL20" i="19"/>
  <c r="AQ16" i="19"/>
  <c r="AN27" i="19"/>
  <c r="AO20" i="19"/>
  <c r="AL27" i="19"/>
  <c r="AM20" i="19"/>
  <c r="AQ39" i="19"/>
  <c r="AK27" i="19"/>
  <c r="AQ17" i="19"/>
  <c r="J63" i="8"/>
  <c r="O63" i="8" s="1"/>
  <c r="P63" i="8" s="1"/>
  <c r="U96" i="8"/>
  <c r="V96" i="8" s="1"/>
  <c r="R86" i="8"/>
  <c r="R75" i="8"/>
  <c r="X60" i="8"/>
  <c r="R90" i="8"/>
  <c r="R47" i="8"/>
  <c r="X61" i="8"/>
  <c r="R44" i="8"/>
  <c r="X71" i="8"/>
  <c r="U74" i="8"/>
  <c r="X46" i="8"/>
  <c r="X28" i="8"/>
  <c r="U22" i="8"/>
  <c r="R80" i="8"/>
  <c r="R53" i="8"/>
  <c r="X93" i="8"/>
  <c r="U64" i="8"/>
  <c r="X77" i="8"/>
  <c r="Y77" i="8" s="1"/>
  <c r="X72" i="8"/>
  <c r="U94" i="8"/>
  <c r="R38" i="8"/>
  <c r="R62" i="8"/>
  <c r="X40" i="8"/>
  <c r="R45" i="8"/>
  <c r="X91" i="8"/>
  <c r="Y91" i="8" s="1"/>
  <c r="U63" i="8"/>
  <c r="V63" i="8" s="1"/>
  <c r="X36" i="8"/>
  <c r="R17" i="8"/>
  <c r="X76" i="8"/>
  <c r="U54" i="8"/>
  <c r="X30" i="8"/>
  <c r="U79" i="8"/>
  <c r="U56" i="8"/>
  <c r="U34" i="8"/>
  <c r="V34" i="8" s="1"/>
  <c r="R85" i="8"/>
  <c r="X59" i="8"/>
  <c r="R20" i="8"/>
  <c r="X97" i="8"/>
  <c r="X70" i="8"/>
  <c r="U49" i="8"/>
  <c r="R100" i="6"/>
  <c r="R84" i="6"/>
  <c r="R68" i="6"/>
  <c r="R117" i="6"/>
  <c r="R83" i="6"/>
  <c r="R50" i="6"/>
  <c r="R131" i="6"/>
  <c r="R114" i="6"/>
  <c r="R98" i="6"/>
  <c r="R82" i="6"/>
  <c r="R66" i="6"/>
  <c r="R49" i="6"/>
  <c r="R33" i="6"/>
  <c r="R99" i="6"/>
  <c r="R73" i="6"/>
  <c r="R34" i="6"/>
  <c r="R111" i="6"/>
  <c r="R71" i="6"/>
  <c r="R43" i="6"/>
  <c r="R125" i="6"/>
  <c r="R109" i="6"/>
  <c r="R93" i="6"/>
  <c r="R77" i="6"/>
  <c r="R60" i="6"/>
  <c r="R30" i="6"/>
  <c r="R122" i="6"/>
  <c r="R89" i="6"/>
  <c r="R67" i="6"/>
  <c r="R123" i="6"/>
  <c r="R107" i="6"/>
  <c r="R90" i="6"/>
  <c r="R74" i="6"/>
  <c r="R128" i="6"/>
  <c r="R105" i="6"/>
  <c r="R62" i="6"/>
  <c r="R39" i="6"/>
  <c r="R121" i="6"/>
  <c r="R104" i="6"/>
  <c r="R88" i="6"/>
  <c r="R58" i="6"/>
  <c r="R42" i="6"/>
  <c r="R26" i="6"/>
  <c r="R55" i="6"/>
  <c r="R22" i="6"/>
  <c r="R72" i="6"/>
  <c r="R126" i="6"/>
  <c r="R95" i="6"/>
  <c r="R27" i="6"/>
  <c r="R116" i="6"/>
  <c r="R86" i="6"/>
  <c r="R70" i="6"/>
  <c r="R54" i="6"/>
  <c r="R38" i="6"/>
  <c r="R21" i="6"/>
  <c r="R101" i="6"/>
  <c r="R78" i="6"/>
  <c r="R45" i="6"/>
  <c r="R18" i="6"/>
  <c r="AH28" i="19"/>
  <c r="AF28" i="19"/>
  <c r="AD28" i="19"/>
  <c r="AB28" i="19"/>
  <c r="S28" i="19"/>
  <c r="V28" i="19"/>
  <c r="Y28" i="19"/>
  <c r="AL43" i="19"/>
  <c r="AM17" i="19"/>
  <c r="AF47" i="19"/>
  <c r="AH47" i="19"/>
  <c r="AD47" i="19"/>
  <c r="AB47" i="19"/>
  <c r="S47" i="19"/>
  <c r="Y47" i="19"/>
  <c r="V47" i="19"/>
  <c r="AO43" i="19"/>
  <c r="AN39" i="19"/>
  <c r="AP20" i="19"/>
  <c r="AC47" i="19"/>
  <c r="AE47" i="19"/>
  <c r="AI47" i="19"/>
  <c r="AG47" i="19"/>
  <c r="T47" i="19"/>
  <c r="Z47" i="19"/>
  <c r="W47" i="19"/>
  <c r="AN17" i="19"/>
  <c r="AP17" i="19"/>
  <c r="AP43" i="19"/>
  <c r="AQ24" i="19"/>
  <c r="AG28" i="19"/>
  <c r="AC28" i="19"/>
  <c r="AI28" i="19"/>
  <c r="AE28" i="19"/>
  <c r="T28" i="19"/>
  <c r="W28" i="19"/>
  <c r="Z28" i="19"/>
  <c r="AO17" i="19"/>
  <c r="AQ43" i="19"/>
  <c r="AQ20" i="19"/>
  <c r="AQ27" i="19"/>
  <c r="H84" i="8"/>
  <c r="I84" i="8" s="1"/>
  <c r="J84" i="8" s="1"/>
  <c r="O84" i="8" s="1"/>
  <c r="P84" i="8" s="1"/>
  <c r="U84" i="8"/>
  <c r="R84" i="8"/>
  <c r="X84" i="8"/>
  <c r="H83" i="8"/>
  <c r="I83" i="8" s="1"/>
  <c r="J83" i="8" s="1"/>
  <c r="O83" i="8" s="1"/>
  <c r="P83" i="8" s="1"/>
  <c r="U83" i="8"/>
  <c r="R83" i="8"/>
  <c r="H21" i="8"/>
  <c r="I21" i="8" s="1"/>
  <c r="J21" i="8" s="1"/>
  <c r="O21" i="8" s="1"/>
  <c r="P21" i="8" s="1"/>
  <c r="R21" i="8"/>
  <c r="U21" i="8"/>
  <c r="X21" i="8"/>
  <c r="H32" i="8"/>
  <c r="I32" i="8" s="1"/>
  <c r="L32" i="8" s="1"/>
  <c r="M32" i="8" s="1"/>
  <c r="U32" i="8"/>
  <c r="X32" i="8"/>
  <c r="R32" i="8"/>
  <c r="H16" i="8"/>
  <c r="I16" i="8" s="1"/>
  <c r="J16" i="8" s="1"/>
  <c r="X16" i="8"/>
  <c r="U16" i="8"/>
  <c r="H25" i="8"/>
  <c r="I25" i="8" s="1"/>
  <c r="J25" i="8" s="1"/>
  <c r="O25" i="8" s="1"/>
  <c r="P25" i="8" s="1"/>
  <c r="X25" i="8"/>
  <c r="U25" i="8"/>
  <c r="R25" i="8"/>
  <c r="H29" i="8"/>
  <c r="I29" i="8" s="1"/>
  <c r="J29" i="8" s="1"/>
  <c r="O29" i="8" s="1"/>
  <c r="P29" i="8" s="1"/>
  <c r="R29" i="8"/>
  <c r="U29" i="8"/>
  <c r="X29" i="8"/>
  <c r="R16" i="8"/>
  <c r="X83" i="8"/>
  <c r="H52" i="8"/>
  <c r="I52" i="8" s="1"/>
  <c r="L52" i="8" s="1"/>
  <c r="M52" i="8" s="1"/>
  <c r="U52" i="8"/>
  <c r="R52" i="8"/>
  <c r="X52" i="8"/>
  <c r="H31" i="8"/>
  <c r="I31" i="8" s="1"/>
  <c r="J31" i="8" s="1"/>
  <c r="X31" i="8"/>
  <c r="U31" i="8"/>
  <c r="R31" i="8"/>
  <c r="H87" i="8"/>
  <c r="I87" i="8" s="1"/>
  <c r="X87" i="8"/>
  <c r="U87" i="8"/>
  <c r="R87" i="8"/>
  <c r="H24" i="8"/>
  <c r="I24" i="8" s="1"/>
  <c r="J24" i="8" s="1"/>
  <c r="X24" i="8"/>
  <c r="R24" i="8"/>
  <c r="H88" i="8"/>
  <c r="I88" i="8" s="1"/>
  <c r="X88" i="8"/>
  <c r="U88" i="8"/>
  <c r="R88" i="8"/>
  <c r="H81" i="8"/>
  <c r="I81" i="8" s="1"/>
  <c r="R81" i="8"/>
  <c r="X81" i="8"/>
  <c r="U81" i="8"/>
  <c r="H98" i="8"/>
  <c r="I98" i="8" s="1"/>
  <c r="L98" i="8" s="1"/>
  <c r="M98" i="8" s="1"/>
  <c r="X98" i="8"/>
  <c r="U98" i="8"/>
  <c r="H67" i="8"/>
  <c r="I67" i="8" s="1"/>
  <c r="J67" i="8" s="1"/>
  <c r="X67" i="8"/>
  <c r="U67" i="8"/>
  <c r="R67" i="8"/>
  <c r="H69" i="8"/>
  <c r="I69" i="8" s="1"/>
  <c r="L69" i="8" s="1"/>
  <c r="M69" i="8" s="1"/>
  <c r="X69" i="8"/>
  <c r="R69" i="8"/>
  <c r="U69" i="8"/>
  <c r="AH96" i="8"/>
  <c r="AD96" i="8"/>
  <c r="AB96" i="8"/>
  <c r="AF96" i="8"/>
  <c r="H95" i="8"/>
  <c r="I95" i="8" s="1"/>
  <c r="L95" i="8" s="1"/>
  <c r="M95" i="8" s="1"/>
  <c r="S95" i="8" s="1"/>
  <c r="X95" i="8"/>
  <c r="U95" i="8"/>
  <c r="H43" i="8"/>
  <c r="I43" i="8" s="1"/>
  <c r="J43" i="8" s="1"/>
  <c r="U43" i="8"/>
  <c r="R43" i="8"/>
  <c r="X43" i="8"/>
  <c r="H55" i="8"/>
  <c r="I55" i="8" s="1"/>
  <c r="L55" i="8" s="1"/>
  <c r="M55" i="8" s="1"/>
  <c r="S55" i="8" s="1"/>
  <c r="X55" i="8"/>
  <c r="U55" i="8"/>
  <c r="AF63" i="8"/>
  <c r="AB63" i="8"/>
  <c r="AH63" i="8"/>
  <c r="AD63" i="8"/>
  <c r="U90" i="8"/>
  <c r="X79" i="8"/>
  <c r="X74" i="8"/>
  <c r="R68" i="8"/>
  <c r="U62" i="8"/>
  <c r="U46" i="8"/>
  <c r="X44" i="8"/>
  <c r="U35" i="8"/>
  <c r="U28" i="8"/>
  <c r="X19" i="8"/>
  <c r="U89" i="8"/>
  <c r="X50" i="8"/>
  <c r="U45" i="8"/>
  <c r="X34" i="8"/>
  <c r="X27" i="8"/>
  <c r="X22" i="8"/>
  <c r="X96" i="8"/>
  <c r="U85" i="8"/>
  <c r="U80" i="8"/>
  <c r="X63" i="8"/>
  <c r="R57" i="8"/>
  <c r="U53" i="8"/>
  <c r="U47" i="8"/>
  <c r="X41" i="8"/>
  <c r="U36" i="8"/>
  <c r="U20" i="8"/>
  <c r="U17" i="8"/>
  <c r="R97" i="8"/>
  <c r="U86" i="8"/>
  <c r="R70" i="8"/>
  <c r="R64" i="8"/>
  <c r="R58" i="8"/>
  <c r="R54" i="8"/>
  <c r="X49" i="8"/>
  <c r="X42" i="8"/>
  <c r="X38" i="8"/>
  <c r="U26" i="8"/>
  <c r="R73" i="8"/>
  <c r="R61" i="8"/>
  <c r="U39" i="8"/>
  <c r="AH77" i="8"/>
  <c r="AB77" i="8"/>
  <c r="AF77" i="8"/>
  <c r="AD77" i="8"/>
  <c r="AF91" i="8"/>
  <c r="AB91" i="8"/>
  <c r="AH91" i="8"/>
  <c r="AD91" i="8"/>
  <c r="AH50" i="8"/>
  <c r="AD50" i="8"/>
  <c r="AF50" i="8"/>
  <c r="AB50" i="8"/>
  <c r="AH26" i="8"/>
  <c r="AB26" i="8"/>
  <c r="AF26" i="8"/>
  <c r="AD26" i="8"/>
  <c r="R79" i="8"/>
  <c r="U72" i="8"/>
  <c r="U68" i="8"/>
  <c r="X62" i="8"/>
  <c r="X56" i="8"/>
  <c r="R46" i="8"/>
  <c r="R40" i="8"/>
  <c r="X35" i="8"/>
  <c r="R19" i="8"/>
  <c r="X94" i="8"/>
  <c r="X89" i="8"/>
  <c r="U50" i="8"/>
  <c r="X45" i="8"/>
  <c r="U27" i="8"/>
  <c r="R22" i="8"/>
  <c r="R91" i="8"/>
  <c r="X85" i="8"/>
  <c r="X75" i="8"/>
  <c r="R59" i="8"/>
  <c r="U57" i="8"/>
  <c r="X53" i="8"/>
  <c r="U41" i="8"/>
  <c r="R36" i="8"/>
  <c r="X20" i="8"/>
  <c r="R71" i="8"/>
  <c r="X17" i="8"/>
  <c r="U93" i="8"/>
  <c r="X86" i="8"/>
  <c r="R76" i="8"/>
  <c r="U70" i="8"/>
  <c r="U60" i="8"/>
  <c r="U58" i="8"/>
  <c r="X54" i="8"/>
  <c r="R42" i="8"/>
  <c r="U38" i="8"/>
  <c r="R30" i="8"/>
  <c r="X26" i="8"/>
  <c r="U77" i="8"/>
  <c r="U73" i="8"/>
  <c r="U61" i="8"/>
  <c r="R39" i="8"/>
  <c r="AH34" i="8"/>
  <c r="AD34" i="8"/>
  <c r="AF34" i="8"/>
  <c r="AB34" i="8"/>
  <c r="AH39" i="8"/>
  <c r="AD39" i="8"/>
  <c r="AF39" i="8"/>
  <c r="AB39" i="8"/>
  <c r="X90" i="8"/>
  <c r="R74" i="8"/>
  <c r="R72" i="8"/>
  <c r="X68" i="8"/>
  <c r="R56" i="8"/>
  <c r="U44" i="8"/>
  <c r="U40" i="8"/>
  <c r="R35" i="8"/>
  <c r="R28" i="8"/>
  <c r="U19" i="8"/>
  <c r="R94" i="8"/>
  <c r="R89" i="8"/>
  <c r="R50" i="8"/>
  <c r="R34" i="8"/>
  <c r="R27" i="8"/>
  <c r="R96" i="8"/>
  <c r="U91" i="8"/>
  <c r="X80" i="8"/>
  <c r="U75" i="8"/>
  <c r="R63" i="8"/>
  <c r="U59" i="8"/>
  <c r="X57" i="8"/>
  <c r="X47" i="8"/>
  <c r="R41" i="8"/>
  <c r="U71" i="8"/>
  <c r="U97" i="8"/>
  <c r="R93" i="8"/>
  <c r="U76" i="8"/>
  <c r="X64" i="8"/>
  <c r="R60" i="8"/>
  <c r="X58" i="8"/>
  <c r="R49" i="8"/>
  <c r="U42" i="8"/>
  <c r="U30" i="8"/>
  <c r="R26" i="8"/>
  <c r="R77" i="8"/>
  <c r="X73" i="8"/>
  <c r="X39" i="8"/>
  <c r="H113" i="6"/>
  <c r="I113" i="6" s="1"/>
  <c r="X113" i="6"/>
  <c r="U113" i="6"/>
  <c r="H97" i="6"/>
  <c r="I97" i="6" s="1"/>
  <c r="L97" i="6" s="1"/>
  <c r="M97" i="6" s="1"/>
  <c r="S97" i="6" s="1"/>
  <c r="X97" i="6"/>
  <c r="U97" i="6"/>
  <c r="H119" i="6"/>
  <c r="I119" i="6" s="1"/>
  <c r="X119" i="6"/>
  <c r="U119" i="6"/>
  <c r="AH105" i="6"/>
  <c r="AD105" i="6"/>
  <c r="AF105" i="6"/>
  <c r="AB105" i="6"/>
  <c r="AD95" i="6"/>
  <c r="AF95" i="6"/>
  <c r="AH95" i="6"/>
  <c r="AB95" i="6"/>
  <c r="H40" i="6"/>
  <c r="I40" i="6" s="1"/>
  <c r="X40" i="6"/>
  <c r="U40" i="6"/>
  <c r="H80" i="6"/>
  <c r="I80" i="6" s="1"/>
  <c r="X80" i="6"/>
  <c r="H118" i="6"/>
  <c r="I118" i="6" s="1"/>
  <c r="U118" i="6"/>
  <c r="H64" i="6"/>
  <c r="I64" i="6" s="1"/>
  <c r="U64" i="6"/>
  <c r="X64" i="6"/>
  <c r="H47" i="6"/>
  <c r="I47" i="6" s="1"/>
  <c r="X47" i="6"/>
  <c r="U47" i="6"/>
  <c r="H16" i="6"/>
  <c r="I16" i="6" s="1"/>
  <c r="X16" i="6"/>
  <c r="U16" i="6"/>
  <c r="H127" i="6"/>
  <c r="I127" i="6" s="1"/>
  <c r="X127" i="6"/>
  <c r="U127" i="6"/>
  <c r="H29" i="6"/>
  <c r="I29" i="6" s="1"/>
  <c r="X29" i="6"/>
  <c r="U29" i="6"/>
  <c r="H112" i="6"/>
  <c r="I112" i="6" s="1"/>
  <c r="L112" i="6" s="1"/>
  <c r="M112" i="6" s="1"/>
  <c r="S112" i="6" s="1"/>
  <c r="U112" i="6"/>
  <c r="U128" i="6"/>
  <c r="U121" i="6"/>
  <c r="U114" i="6"/>
  <c r="U104" i="6"/>
  <c r="U98" i="6"/>
  <c r="U88" i="6"/>
  <c r="U82" i="6"/>
  <c r="U66" i="6"/>
  <c r="X58" i="6"/>
  <c r="X49" i="6"/>
  <c r="U42" i="6"/>
  <c r="U33" i="6"/>
  <c r="U26" i="6"/>
  <c r="U126" i="6"/>
  <c r="U117" i="6"/>
  <c r="U111" i="6"/>
  <c r="U101" i="6"/>
  <c r="U95" i="6"/>
  <c r="U78" i="6"/>
  <c r="U71" i="6"/>
  <c r="U62" i="6"/>
  <c r="U55" i="6"/>
  <c r="U45" i="6"/>
  <c r="U39" i="6"/>
  <c r="U22" i="6"/>
  <c r="X123" i="6"/>
  <c r="X118" i="6"/>
  <c r="U90" i="6"/>
  <c r="U84" i="6"/>
  <c r="H91" i="6"/>
  <c r="I91" i="6" s="1"/>
  <c r="X91" i="6"/>
  <c r="U91" i="6"/>
  <c r="H53" i="6"/>
  <c r="I53" i="6" s="1"/>
  <c r="X53" i="6"/>
  <c r="U53" i="6"/>
  <c r="H69" i="6"/>
  <c r="I69" i="6" s="1"/>
  <c r="X69" i="6"/>
  <c r="U69" i="6"/>
  <c r="H57" i="6"/>
  <c r="I57" i="6" s="1"/>
  <c r="X57" i="6"/>
  <c r="U57" i="6"/>
  <c r="H115" i="6"/>
  <c r="I115" i="6" s="1"/>
  <c r="X115" i="6"/>
  <c r="U115" i="6"/>
  <c r="H44" i="6"/>
  <c r="I44" i="6" s="1"/>
  <c r="X44" i="6"/>
  <c r="U44" i="6"/>
  <c r="H56" i="6"/>
  <c r="I56" i="6" s="1"/>
  <c r="X56" i="6"/>
  <c r="U56" i="6"/>
  <c r="AH89" i="6"/>
  <c r="H96" i="6"/>
  <c r="I96" i="6" s="1"/>
  <c r="U96" i="6"/>
  <c r="H20" i="6"/>
  <c r="I20" i="6" s="1"/>
  <c r="X20" i="6"/>
  <c r="U20" i="6"/>
  <c r="X128" i="6"/>
  <c r="X121" i="6"/>
  <c r="X114" i="6"/>
  <c r="X104" i="6"/>
  <c r="X98" i="6"/>
  <c r="X88" i="6"/>
  <c r="X82" i="6"/>
  <c r="X66" i="6"/>
  <c r="U58" i="6"/>
  <c r="U49" i="6"/>
  <c r="X42" i="6"/>
  <c r="X33" i="6"/>
  <c r="X26" i="6"/>
  <c r="X126" i="6"/>
  <c r="X117" i="6"/>
  <c r="X111" i="6"/>
  <c r="X101" i="6"/>
  <c r="X95" i="6"/>
  <c r="X78" i="6"/>
  <c r="X71" i="6"/>
  <c r="X62" i="6"/>
  <c r="X55" i="6"/>
  <c r="X45" i="6"/>
  <c r="X39" i="6"/>
  <c r="X22" i="6"/>
  <c r="X112" i="6"/>
  <c r="U107" i="6"/>
  <c r="X84" i="6"/>
  <c r="U80" i="6"/>
  <c r="U74" i="6"/>
  <c r="H103" i="6"/>
  <c r="I103" i="6" s="1"/>
  <c r="X103" i="6"/>
  <c r="U103" i="6"/>
  <c r="H108" i="6"/>
  <c r="I108" i="6" s="1"/>
  <c r="X108" i="6"/>
  <c r="U108" i="6"/>
  <c r="H87" i="6"/>
  <c r="I87" i="6" s="1"/>
  <c r="L87" i="6" s="1"/>
  <c r="M87" i="6" s="1"/>
  <c r="S87" i="6" s="1"/>
  <c r="X87" i="6"/>
  <c r="U87" i="6"/>
  <c r="H36" i="6"/>
  <c r="I36" i="6" s="1"/>
  <c r="X36" i="6"/>
  <c r="U36" i="6"/>
  <c r="H25" i="6"/>
  <c r="I25" i="6" s="1"/>
  <c r="X25" i="6"/>
  <c r="U25" i="6"/>
  <c r="H32" i="6"/>
  <c r="I32" i="6" s="1"/>
  <c r="X32" i="6"/>
  <c r="U32" i="6"/>
  <c r="H63" i="6"/>
  <c r="I63" i="6" s="1"/>
  <c r="L63" i="6" s="1"/>
  <c r="M63" i="6" s="1"/>
  <c r="S63" i="6" s="1"/>
  <c r="X63" i="6"/>
  <c r="U63" i="6"/>
  <c r="H52" i="6"/>
  <c r="I52" i="6" s="1"/>
  <c r="X52" i="6"/>
  <c r="U52" i="6"/>
  <c r="H28" i="6"/>
  <c r="I28" i="6" s="1"/>
  <c r="J28" i="6" s="1"/>
  <c r="X28" i="6"/>
  <c r="U28" i="6"/>
  <c r="AF43" i="6"/>
  <c r="AD43" i="6"/>
  <c r="AH43" i="6"/>
  <c r="AB43" i="6"/>
  <c r="H75" i="6"/>
  <c r="I75" i="6" s="1"/>
  <c r="U75" i="6"/>
  <c r="X75" i="6"/>
  <c r="H35" i="6"/>
  <c r="I35" i="6" s="1"/>
  <c r="X35" i="6"/>
  <c r="U35" i="6"/>
  <c r="H102" i="6"/>
  <c r="I102" i="6" s="1"/>
  <c r="U102" i="6"/>
  <c r="U125" i="6"/>
  <c r="U116" i="6"/>
  <c r="U109" i="6"/>
  <c r="U93" i="6"/>
  <c r="U86" i="6"/>
  <c r="U77" i="6"/>
  <c r="U70" i="6"/>
  <c r="X60" i="6"/>
  <c r="U54" i="6"/>
  <c r="U38" i="6"/>
  <c r="U30" i="6"/>
  <c r="U21" i="6"/>
  <c r="U131" i="6"/>
  <c r="U122" i="6"/>
  <c r="U105" i="6"/>
  <c r="U99" i="6"/>
  <c r="U89" i="6"/>
  <c r="U83" i="6"/>
  <c r="U73" i="6"/>
  <c r="U67" i="6"/>
  <c r="U50" i="6"/>
  <c r="X43" i="6"/>
  <c r="U34" i="6"/>
  <c r="U27" i="6"/>
  <c r="U18" i="6"/>
  <c r="X107" i="6"/>
  <c r="X102" i="6"/>
  <c r="U100" i="6"/>
  <c r="X74" i="6"/>
  <c r="U68" i="6"/>
  <c r="H41" i="6"/>
  <c r="I41" i="6" s="1"/>
  <c r="X41" i="6"/>
  <c r="U41" i="6"/>
  <c r="H48" i="6"/>
  <c r="I48" i="6" s="1"/>
  <c r="X48" i="6"/>
  <c r="U48" i="6"/>
  <c r="H24" i="6"/>
  <c r="I24" i="6" s="1"/>
  <c r="X24" i="6"/>
  <c r="U24" i="6"/>
  <c r="H81" i="6"/>
  <c r="I81" i="6" s="1"/>
  <c r="X81" i="6"/>
  <c r="U81" i="6"/>
  <c r="H72" i="6"/>
  <c r="I72" i="6" s="1"/>
  <c r="U72" i="6"/>
  <c r="H59" i="6"/>
  <c r="I59" i="6" s="1"/>
  <c r="X59" i="6"/>
  <c r="U59" i="6"/>
  <c r="H124" i="6"/>
  <c r="I124" i="6" s="1"/>
  <c r="X124" i="6"/>
  <c r="U124" i="6"/>
  <c r="H19" i="6"/>
  <c r="I19" i="6" s="1"/>
  <c r="X19" i="6"/>
  <c r="U19" i="6"/>
  <c r="H85" i="6"/>
  <c r="I85" i="6" s="1"/>
  <c r="X85" i="6"/>
  <c r="U85" i="6"/>
  <c r="X125" i="6"/>
  <c r="X116" i="6"/>
  <c r="X109" i="6"/>
  <c r="X93" i="6"/>
  <c r="X86" i="6"/>
  <c r="X77" i="6"/>
  <c r="X70" i="6"/>
  <c r="U60" i="6"/>
  <c r="X54" i="6"/>
  <c r="X38" i="6"/>
  <c r="X30" i="6"/>
  <c r="X21" i="6"/>
  <c r="X131" i="6"/>
  <c r="X122" i="6"/>
  <c r="X105" i="6"/>
  <c r="X99" i="6"/>
  <c r="X89" i="6"/>
  <c r="X83" i="6"/>
  <c r="X73" i="6"/>
  <c r="X67" i="6"/>
  <c r="X50" i="6"/>
  <c r="U43" i="6"/>
  <c r="X34" i="6"/>
  <c r="X27" i="6"/>
  <c r="X18" i="6"/>
  <c r="U123" i="6"/>
  <c r="X100" i="6"/>
  <c r="X96" i="6"/>
  <c r="X90" i="6"/>
  <c r="X68" i="6"/>
  <c r="L76" i="8"/>
  <c r="M76" i="8" s="1"/>
  <c r="Y76" i="8" s="1"/>
  <c r="J26" i="8"/>
  <c r="O26" i="8" s="1"/>
  <c r="P26" i="8" s="1"/>
  <c r="J91" i="8"/>
  <c r="O91" i="8" s="1"/>
  <c r="P91" i="8" s="1"/>
  <c r="L38" i="8"/>
  <c r="M38" i="8" s="1"/>
  <c r="J89" i="6"/>
  <c r="J39" i="8"/>
  <c r="O39" i="8" s="1"/>
  <c r="P39" i="8" s="1"/>
  <c r="L20" i="8"/>
  <c r="M20" i="8" s="1"/>
  <c r="L40" i="8"/>
  <c r="M40" i="8" s="1"/>
  <c r="Y40" i="8" s="1"/>
  <c r="J46" i="8"/>
  <c r="O46" i="8" s="1"/>
  <c r="P46" i="8" s="1"/>
  <c r="L46" i="8"/>
  <c r="M46" i="8" s="1"/>
  <c r="L79" i="8"/>
  <c r="M79" i="8" s="1"/>
  <c r="L42" i="8"/>
  <c r="M42" i="8" s="1"/>
  <c r="J50" i="8"/>
  <c r="O50" i="8" s="1"/>
  <c r="P50" i="8" s="1"/>
  <c r="L25" i="8"/>
  <c r="M25" i="8" s="1"/>
  <c r="L53" i="8"/>
  <c r="M53" i="8" s="1"/>
  <c r="J53" i="8"/>
  <c r="O53" i="8" s="1"/>
  <c r="P53" i="8" s="1"/>
  <c r="J86" i="8"/>
  <c r="O86" i="8" s="1"/>
  <c r="P86" i="8" s="1"/>
  <c r="L86" i="8"/>
  <c r="M86" i="8" s="1"/>
  <c r="L74" i="8"/>
  <c r="M74" i="8" s="1"/>
  <c r="J74" i="8"/>
  <c r="O74" i="8" s="1"/>
  <c r="P74" i="8" s="1"/>
  <c r="J116" i="6"/>
  <c r="L34" i="6"/>
  <c r="M34" i="6" s="1"/>
  <c r="J128" i="6"/>
  <c r="L111" i="6"/>
  <c r="M111" i="6" s="1"/>
  <c r="L60" i="8"/>
  <c r="M60" i="8" s="1"/>
  <c r="J60" i="8"/>
  <c r="O60" i="8" s="1"/>
  <c r="P60" i="8" s="1"/>
  <c r="Z60" i="8" s="1"/>
  <c r="L128" i="6"/>
  <c r="M128" i="6" s="1"/>
  <c r="J131" i="6"/>
  <c r="L131" i="6"/>
  <c r="M131" i="6" s="1"/>
  <c r="L127" i="6"/>
  <c r="M127" i="6" s="1"/>
  <c r="S127" i="6" s="1"/>
  <c r="L73" i="6"/>
  <c r="M73" i="6" s="1"/>
  <c r="L78" i="6"/>
  <c r="M78" i="6" s="1"/>
  <c r="L75" i="8"/>
  <c r="M75" i="8" s="1"/>
  <c r="J75" i="8"/>
  <c r="L41" i="8"/>
  <c r="M41" i="8" s="1"/>
  <c r="J41" i="8"/>
  <c r="J80" i="8"/>
  <c r="L80" i="8"/>
  <c r="M80" i="8" s="1"/>
  <c r="J61" i="8"/>
  <c r="L61" i="8"/>
  <c r="M61" i="8" s="1"/>
  <c r="L45" i="8"/>
  <c r="M45" i="8" s="1"/>
  <c r="S45" i="8" s="1"/>
  <c r="J45" i="8"/>
  <c r="J94" i="8"/>
  <c r="L94" i="8"/>
  <c r="M94" i="8" s="1"/>
  <c r="J64" i="8"/>
  <c r="L64" i="8"/>
  <c r="M64" i="8" s="1"/>
  <c r="O79" i="8"/>
  <c r="P79" i="8" s="1"/>
  <c r="J54" i="8"/>
  <c r="L54" i="8"/>
  <c r="M54" i="8" s="1"/>
  <c r="J57" i="8"/>
  <c r="L57" i="8"/>
  <c r="M57" i="8" s="1"/>
  <c r="J90" i="8"/>
  <c r="L90" i="8"/>
  <c r="M90" i="8" s="1"/>
  <c r="O42" i="8"/>
  <c r="P42" i="8" s="1"/>
  <c r="L36" i="8"/>
  <c r="M36" i="8" s="1"/>
  <c r="Y36" i="8" s="1"/>
  <c r="J36" i="8"/>
  <c r="J30" i="8"/>
  <c r="L30" i="8"/>
  <c r="M30" i="8" s="1"/>
  <c r="O16" i="8"/>
  <c r="P16" i="8" s="1"/>
  <c r="L22" i="8"/>
  <c r="M22" i="8" s="1"/>
  <c r="J22" i="8"/>
  <c r="J93" i="8"/>
  <c r="L93" i="8"/>
  <c r="M93" i="8" s="1"/>
  <c r="J73" i="8"/>
  <c r="L73" i="8"/>
  <c r="M73" i="8" s="1"/>
  <c r="J59" i="8"/>
  <c r="L59" i="8"/>
  <c r="M59" i="8" s="1"/>
  <c r="O40" i="8"/>
  <c r="P40" i="8" s="1"/>
  <c r="Z40" i="8" s="1"/>
  <c r="J52" i="8"/>
  <c r="J88" i="8"/>
  <c r="L88" i="8"/>
  <c r="M88" i="8" s="1"/>
  <c r="J68" i="8"/>
  <c r="L68" i="8"/>
  <c r="M68" i="8" s="1"/>
  <c r="J49" i="8"/>
  <c r="L49" i="8"/>
  <c r="M49" i="8" s="1"/>
  <c r="O20" i="8"/>
  <c r="P20" i="8" s="1"/>
  <c r="O77" i="8"/>
  <c r="P77" i="8" s="1"/>
  <c r="J98" i="8"/>
  <c r="L85" i="8"/>
  <c r="M85" i="8" s="1"/>
  <c r="J85" i="8"/>
  <c r="J62" i="8"/>
  <c r="L62" i="8"/>
  <c r="M62" i="8" s="1"/>
  <c r="J72" i="8"/>
  <c r="L72" i="8"/>
  <c r="M72" i="8" s="1"/>
  <c r="J58" i="8"/>
  <c r="L58" i="8"/>
  <c r="M58" i="8" s="1"/>
  <c r="O96" i="8"/>
  <c r="P96" i="8" s="1"/>
  <c r="J71" i="8"/>
  <c r="L71" i="8"/>
  <c r="M71" i="8" s="1"/>
  <c r="J47" i="8"/>
  <c r="L47" i="8"/>
  <c r="M47" i="8" s="1"/>
  <c r="J19" i="8"/>
  <c r="L19" i="8"/>
  <c r="M19" i="8" s="1"/>
  <c r="L31" i="8"/>
  <c r="M31" i="8" s="1"/>
  <c r="L27" i="8"/>
  <c r="M27" i="8" s="1"/>
  <c r="J27" i="8"/>
  <c r="L17" i="8"/>
  <c r="M17" i="8" s="1"/>
  <c r="J17" i="8"/>
  <c r="J28" i="8"/>
  <c r="L28" i="8"/>
  <c r="M28" i="8" s="1"/>
  <c r="Y28" i="8" s="1"/>
  <c r="J97" i="8"/>
  <c r="L97" i="8"/>
  <c r="M97" i="8" s="1"/>
  <c r="O76" i="8"/>
  <c r="P76" i="8" s="1"/>
  <c r="J70" i="8"/>
  <c r="L70" i="8"/>
  <c r="M70" i="8" s="1"/>
  <c r="J56" i="8"/>
  <c r="L56" i="8"/>
  <c r="M56" i="8" s="1"/>
  <c r="L89" i="8"/>
  <c r="M89" i="8" s="1"/>
  <c r="J89" i="8"/>
  <c r="J44" i="8"/>
  <c r="L44" i="8"/>
  <c r="M44" i="8" s="1"/>
  <c r="S44" i="8" s="1"/>
  <c r="J35" i="8"/>
  <c r="L35" i="8"/>
  <c r="M35" i="8" s="1"/>
  <c r="O38" i="8"/>
  <c r="P38" i="8" s="1"/>
  <c r="J113" i="6"/>
  <c r="J27" i="6"/>
  <c r="L27" i="6"/>
  <c r="M27" i="6" s="1"/>
  <c r="J83" i="6"/>
  <c r="L83" i="6"/>
  <c r="M83" i="6" s="1"/>
  <c r="J39" i="6"/>
  <c r="L39" i="6"/>
  <c r="M39" i="6" s="1"/>
  <c r="J18" i="6"/>
  <c r="L18" i="6"/>
  <c r="M18" i="6" s="1"/>
  <c r="J122" i="6"/>
  <c r="L122" i="6"/>
  <c r="M122" i="6" s="1"/>
  <c r="J88" i="6"/>
  <c r="L88" i="6"/>
  <c r="M88" i="6" s="1"/>
  <c r="J21" i="6"/>
  <c r="L21" i="6"/>
  <c r="M21" i="6" s="1"/>
  <c r="J77" i="6"/>
  <c r="L77" i="6"/>
  <c r="M77" i="6" s="1"/>
  <c r="O78" i="6"/>
  <c r="P78" i="6" s="1"/>
  <c r="L71" i="6"/>
  <c r="M71" i="6" s="1"/>
  <c r="J71" i="6"/>
  <c r="L38" i="6"/>
  <c r="M38" i="6" s="1"/>
  <c r="J38" i="6"/>
  <c r="L117" i="6"/>
  <c r="M117" i="6" s="1"/>
  <c r="J117" i="6"/>
  <c r="J93" i="6"/>
  <c r="L93" i="6"/>
  <c r="M93" i="6" s="1"/>
  <c r="J121" i="6"/>
  <c r="L121" i="6"/>
  <c r="M121" i="6" s="1"/>
  <c r="O111" i="6"/>
  <c r="P111" i="6" s="1"/>
  <c r="L82" i="6"/>
  <c r="M82" i="6" s="1"/>
  <c r="J82" i="6"/>
  <c r="L70" i="6"/>
  <c r="M70" i="6" s="1"/>
  <c r="J70" i="6"/>
  <c r="J42" i="6"/>
  <c r="L42" i="6"/>
  <c r="M42" i="6" s="1"/>
  <c r="J55" i="6"/>
  <c r="L55" i="6"/>
  <c r="M55" i="6" s="1"/>
  <c r="L58" i="6"/>
  <c r="M58" i="6" s="1"/>
  <c r="J58" i="6"/>
  <c r="J30" i="6"/>
  <c r="L30" i="6"/>
  <c r="M30" i="6" s="1"/>
  <c r="J107" i="6"/>
  <c r="L107" i="6"/>
  <c r="M107" i="6" s="1"/>
  <c r="J114" i="6"/>
  <c r="L114" i="6"/>
  <c r="M114" i="6" s="1"/>
  <c r="J98" i="6"/>
  <c r="L98" i="6"/>
  <c r="M98" i="6" s="1"/>
  <c r="J84" i="6"/>
  <c r="L84" i="6"/>
  <c r="M84" i="6" s="1"/>
  <c r="L66" i="6"/>
  <c r="M66" i="6" s="1"/>
  <c r="J66" i="6"/>
  <c r="L50" i="6"/>
  <c r="M50" i="6" s="1"/>
  <c r="J50" i="6"/>
  <c r="L22" i="6"/>
  <c r="M22" i="6" s="1"/>
  <c r="J22" i="6"/>
  <c r="O73" i="6"/>
  <c r="P73" i="6" s="1"/>
  <c r="L67" i="6"/>
  <c r="M67" i="6" s="1"/>
  <c r="J67" i="6"/>
  <c r="J54" i="6"/>
  <c r="L54" i="6"/>
  <c r="M54" i="6" s="1"/>
  <c r="J45" i="6"/>
  <c r="L45" i="6"/>
  <c r="M45" i="6" s="1"/>
  <c r="J44" i="6"/>
  <c r="L44" i="6"/>
  <c r="M44" i="6" s="1"/>
  <c r="S44" i="6" s="1"/>
  <c r="J126" i="6"/>
  <c r="L126" i="6"/>
  <c r="M126" i="6" s="1"/>
  <c r="J123" i="6"/>
  <c r="L123" i="6"/>
  <c r="M123" i="6" s="1"/>
  <c r="J109" i="6"/>
  <c r="L109" i="6"/>
  <c r="M109" i="6" s="1"/>
  <c r="L125" i="6"/>
  <c r="M125" i="6" s="1"/>
  <c r="J125" i="6"/>
  <c r="J100" i="6"/>
  <c r="L100" i="6"/>
  <c r="M100" i="6" s="1"/>
  <c r="J86" i="6"/>
  <c r="L86" i="6"/>
  <c r="M86" i="6" s="1"/>
  <c r="J104" i="6"/>
  <c r="L104" i="6"/>
  <c r="M104" i="6" s="1"/>
  <c r="O105" i="6"/>
  <c r="P105" i="6" s="1"/>
  <c r="L74" i="6"/>
  <c r="M74" i="6" s="1"/>
  <c r="J74" i="6"/>
  <c r="L60" i="6"/>
  <c r="M60" i="6" s="1"/>
  <c r="J60" i="6"/>
  <c r="J33" i="6"/>
  <c r="L33" i="6"/>
  <c r="M33" i="6" s="1"/>
  <c r="J49" i="6"/>
  <c r="L49" i="6"/>
  <c r="M49" i="6" s="1"/>
  <c r="L101" i="6"/>
  <c r="M101" i="6" s="1"/>
  <c r="J101" i="6"/>
  <c r="L90" i="6"/>
  <c r="M90" i="6" s="1"/>
  <c r="J90" i="6"/>
  <c r="J68" i="6"/>
  <c r="L68" i="6"/>
  <c r="M68" i="6" s="1"/>
  <c r="L62" i="6"/>
  <c r="M62" i="6" s="1"/>
  <c r="J62" i="6"/>
  <c r="L26" i="6"/>
  <c r="M26" i="6" s="1"/>
  <c r="J26" i="6"/>
  <c r="AD99" i="6" l="1"/>
  <c r="AB99" i="6"/>
  <c r="AF99" i="6"/>
  <c r="AF116" i="6"/>
  <c r="J69" i="6"/>
  <c r="O69" i="6" s="1"/>
  <c r="P69" i="6" s="1"/>
  <c r="J87" i="6"/>
  <c r="J56" i="6"/>
  <c r="O128" i="6"/>
  <c r="P128" i="6" s="1"/>
  <c r="W128" i="6" s="1"/>
  <c r="L24" i="6"/>
  <c r="M24" i="6" s="1"/>
  <c r="S24" i="6" s="1"/>
  <c r="L75" i="6"/>
  <c r="M75" i="6" s="1"/>
  <c r="S75" i="6" s="1"/>
  <c r="J32" i="6"/>
  <c r="J108" i="6"/>
  <c r="O108" i="6" s="1"/>
  <c r="P108" i="6" s="1"/>
  <c r="L20" i="6"/>
  <c r="M20" i="6" s="1"/>
  <c r="S20" i="6" s="1"/>
  <c r="AB89" i="6"/>
  <c r="AB116" i="6"/>
  <c r="J53" i="6"/>
  <c r="O53" i="6" s="1"/>
  <c r="P53" i="6" s="1"/>
  <c r="T53" i="6" s="1"/>
  <c r="J127" i="6"/>
  <c r="L40" i="6"/>
  <c r="M40" i="6" s="1"/>
  <c r="S40" i="6" s="1"/>
  <c r="O89" i="6"/>
  <c r="P89" i="6" s="1"/>
  <c r="L69" i="6"/>
  <c r="M69" i="6" s="1"/>
  <c r="S69" i="6" s="1"/>
  <c r="L64" i="6"/>
  <c r="M64" i="6" s="1"/>
  <c r="S64" i="6" s="1"/>
  <c r="L80" i="6"/>
  <c r="M80" i="6" s="1"/>
  <c r="S80" i="6" s="1"/>
  <c r="L113" i="6"/>
  <c r="M113" i="6" s="1"/>
  <c r="S113" i="6" s="1"/>
  <c r="O99" i="6"/>
  <c r="P99" i="6" s="1"/>
  <c r="T99" i="6" s="1"/>
  <c r="J19" i="6"/>
  <c r="L72" i="6"/>
  <c r="M72" i="6" s="1"/>
  <c r="Y72" i="6" s="1"/>
  <c r="J41" i="6"/>
  <c r="J102" i="6"/>
  <c r="O102" i="6" s="1"/>
  <c r="P102" i="6" s="1"/>
  <c r="T102" i="6" s="1"/>
  <c r="L52" i="6"/>
  <c r="M52" i="6" s="1"/>
  <c r="S52" i="6" s="1"/>
  <c r="L36" i="6"/>
  <c r="M36" i="6" s="1"/>
  <c r="S36" i="6" s="1"/>
  <c r="L96" i="6"/>
  <c r="M96" i="6" s="1"/>
  <c r="S96" i="6" s="1"/>
  <c r="AF89" i="6"/>
  <c r="L57" i="6"/>
  <c r="M57" i="6" s="1"/>
  <c r="S57" i="6" s="1"/>
  <c r="AD116" i="6"/>
  <c r="J112" i="6"/>
  <c r="L47" i="6"/>
  <c r="M47" i="6" s="1"/>
  <c r="S47" i="6" s="1"/>
  <c r="J97" i="6"/>
  <c r="J35" i="6"/>
  <c r="L56" i="6"/>
  <c r="M56" i="6" s="1"/>
  <c r="S56" i="6" s="1"/>
  <c r="J63" i="6"/>
  <c r="O63" i="6" s="1"/>
  <c r="P63" i="6" s="1"/>
  <c r="T63" i="6" s="1"/>
  <c r="AK63" i="6" s="1"/>
  <c r="O116" i="6"/>
  <c r="P116" i="6" s="1"/>
  <c r="J48" i="6"/>
  <c r="L28" i="6"/>
  <c r="M28" i="6" s="1"/>
  <c r="S28" i="6" s="1"/>
  <c r="J25" i="6"/>
  <c r="O25" i="6" s="1"/>
  <c r="P25" i="6" s="1"/>
  <c r="T25" i="6" s="1"/>
  <c r="L103" i="6"/>
  <c r="M103" i="6" s="1"/>
  <c r="S103" i="6" s="1"/>
  <c r="J115" i="6"/>
  <c r="J91" i="6"/>
  <c r="L16" i="6"/>
  <c r="M16" i="6" s="1"/>
  <c r="S16" i="6" s="1"/>
  <c r="L118" i="6"/>
  <c r="M118" i="6" s="1"/>
  <c r="S118" i="6" s="1"/>
  <c r="L119" i="6"/>
  <c r="M119" i="6" s="1"/>
  <c r="S119" i="6" s="1"/>
  <c r="J69" i="8"/>
  <c r="L48" i="6"/>
  <c r="M48" i="6" s="1"/>
  <c r="S48" i="6" s="1"/>
  <c r="W74" i="8"/>
  <c r="V79" i="8"/>
  <c r="L67" i="8"/>
  <c r="M67" i="8" s="1"/>
  <c r="Y93" i="8"/>
  <c r="J20" i="6"/>
  <c r="J119" i="6"/>
  <c r="Y30" i="8"/>
  <c r="J52" i="6"/>
  <c r="J47" i="6"/>
  <c r="L91" i="6"/>
  <c r="M91" i="6" s="1"/>
  <c r="S91" i="6" s="1"/>
  <c r="L41" i="6"/>
  <c r="M41" i="6" s="1"/>
  <c r="S41" i="6" s="1"/>
  <c r="J96" i="6"/>
  <c r="J75" i="6"/>
  <c r="L32" i="6"/>
  <c r="M32" i="6" s="1"/>
  <c r="S32" i="6" s="1"/>
  <c r="J40" i="6"/>
  <c r="L102" i="6"/>
  <c r="M102" i="6" s="1"/>
  <c r="S102" i="6" s="1"/>
  <c r="J57" i="6"/>
  <c r="J72" i="6"/>
  <c r="J80" i="6"/>
  <c r="J103" i="6"/>
  <c r="O103" i="6" s="1"/>
  <c r="P103" i="6" s="1"/>
  <c r="T103" i="6" s="1"/>
  <c r="AK103" i="6" s="1"/>
  <c r="L19" i="6"/>
  <c r="M19" i="6" s="1"/>
  <c r="S19" i="6" s="1"/>
  <c r="L25" i="6"/>
  <c r="M25" i="6" s="1"/>
  <c r="S25" i="6" s="1"/>
  <c r="T20" i="8"/>
  <c r="S20" i="8"/>
  <c r="W96" i="8"/>
  <c r="J55" i="8"/>
  <c r="O55" i="8" s="1"/>
  <c r="P55" i="8" s="1"/>
  <c r="Z55" i="8" s="1"/>
  <c r="S47" i="8"/>
  <c r="J95" i="8"/>
  <c r="T86" i="8"/>
  <c r="L83" i="8"/>
  <c r="M83" i="8" s="1"/>
  <c r="AH83" i="8" s="1"/>
  <c r="W79" i="8"/>
  <c r="V49" i="8"/>
  <c r="AM47" i="19"/>
  <c r="AN28" i="19"/>
  <c r="AM28" i="19"/>
  <c r="AO28" i="19"/>
  <c r="AN47" i="19"/>
  <c r="L24" i="8"/>
  <c r="M24" i="8" s="1"/>
  <c r="AF24" i="8" s="1"/>
  <c r="Y61" i="8"/>
  <c r="T53" i="8"/>
  <c r="S38" i="8"/>
  <c r="W34" i="8"/>
  <c r="L84" i="8"/>
  <c r="M84" i="8" s="1"/>
  <c r="AH84" i="8" s="1"/>
  <c r="T38" i="8"/>
  <c r="L29" i="8"/>
  <c r="M29" i="8" s="1"/>
  <c r="AF29" i="8" s="1"/>
  <c r="J32" i="8"/>
  <c r="O32" i="8" s="1"/>
  <c r="P32" i="8" s="1"/>
  <c r="L43" i="8"/>
  <c r="M43" i="8" s="1"/>
  <c r="AD43" i="8" s="1"/>
  <c r="L16" i="8"/>
  <c r="M16" i="8" s="1"/>
  <c r="AH16" i="8" s="1"/>
  <c r="L21" i="8"/>
  <c r="M21" i="8" s="1"/>
  <c r="V21" i="8" s="1"/>
  <c r="W63" i="8"/>
  <c r="AL63" i="8" s="1"/>
  <c r="S90" i="8"/>
  <c r="V54" i="8"/>
  <c r="S62" i="8"/>
  <c r="L115" i="6"/>
  <c r="M115" i="6" s="1"/>
  <c r="S115" i="6" s="1"/>
  <c r="J24" i="6"/>
  <c r="L35" i="6"/>
  <c r="M35" i="6" s="1"/>
  <c r="S35" i="6" s="1"/>
  <c r="J16" i="6"/>
  <c r="L108" i="6"/>
  <c r="M108" i="6" s="1"/>
  <c r="S108" i="6" s="1"/>
  <c r="J118" i="6"/>
  <c r="L53" i="6"/>
  <c r="M53" i="6" s="1"/>
  <c r="S53" i="6" s="1"/>
  <c r="S78" i="6"/>
  <c r="T78" i="6"/>
  <c r="S126" i="6"/>
  <c r="S104" i="6"/>
  <c r="T89" i="6"/>
  <c r="S89" i="6"/>
  <c r="T34" i="6"/>
  <c r="S34" i="6"/>
  <c r="S83" i="6"/>
  <c r="J64" i="6"/>
  <c r="S101" i="6"/>
  <c r="S70" i="6"/>
  <c r="S27" i="6"/>
  <c r="S58" i="6"/>
  <c r="S121" i="6"/>
  <c r="S128" i="6"/>
  <c r="S123" i="6"/>
  <c r="S122" i="6"/>
  <c r="S77" i="6"/>
  <c r="S43" i="6"/>
  <c r="T43" i="6"/>
  <c r="T73" i="6"/>
  <c r="S73" i="6"/>
  <c r="S49" i="6"/>
  <c r="S114" i="6"/>
  <c r="S117" i="6"/>
  <c r="S116" i="6"/>
  <c r="S42" i="6"/>
  <c r="S107" i="6"/>
  <c r="S60" i="6"/>
  <c r="S33" i="6"/>
  <c r="S100" i="6"/>
  <c r="J36" i="6"/>
  <c r="S18" i="6"/>
  <c r="S21" i="6"/>
  <c r="S86" i="6"/>
  <c r="S39" i="6"/>
  <c r="S74" i="6"/>
  <c r="S30" i="6"/>
  <c r="S93" i="6"/>
  <c r="S71" i="6"/>
  <c r="S99" i="6"/>
  <c r="S66" i="6"/>
  <c r="S131" i="6"/>
  <c r="S68" i="6"/>
  <c r="S54" i="6"/>
  <c r="S55" i="6"/>
  <c r="S105" i="6"/>
  <c r="T105" i="6"/>
  <c r="S125" i="6"/>
  <c r="S98" i="6"/>
  <c r="S45" i="6"/>
  <c r="S38" i="6"/>
  <c r="S95" i="6"/>
  <c r="T95" i="6"/>
  <c r="S22" i="6"/>
  <c r="S26" i="6"/>
  <c r="S88" i="6"/>
  <c r="S62" i="6"/>
  <c r="S90" i="6"/>
  <c r="S67" i="6"/>
  <c r="S109" i="6"/>
  <c r="S111" i="6"/>
  <c r="T111" i="6"/>
  <c r="S82" i="6"/>
  <c r="S50" i="6"/>
  <c r="S84" i="6"/>
  <c r="AQ47" i="19"/>
  <c r="AL47" i="19"/>
  <c r="AO47" i="19"/>
  <c r="AK47" i="19"/>
  <c r="AP47" i="19"/>
  <c r="AL28" i="19"/>
  <c r="AP28" i="19"/>
  <c r="AK28" i="19"/>
  <c r="AQ28" i="19"/>
  <c r="AM40" i="8"/>
  <c r="AH98" i="8"/>
  <c r="AD98" i="8"/>
  <c r="AB98" i="8"/>
  <c r="AF98" i="8"/>
  <c r="S98" i="8"/>
  <c r="AF35" i="8"/>
  <c r="AH35" i="8"/>
  <c r="AB35" i="8"/>
  <c r="AD35" i="8"/>
  <c r="AD70" i="8"/>
  <c r="AF70" i="8"/>
  <c r="AB70" i="8"/>
  <c r="AH70" i="8"/>
  <c r="AH71" i="8"/>
  <c r="AD71" i="8"/>
  <c r="AF71" i="8"/>
  <c r="AB71" i="8"/>
  <c r="AC29" i="8"/>
  <c r="AI29" i="8"/>
  <c r="AG29" i="8"/>
  <c r="AE29" i="8"/>
  <c r="AH88" i="8"/>
  <c r="AD88" i="8"/>
  <c r="AF88" i="8"/>
  <c r="AB88" i="8"/>
  <c r="AH73" i="8"/>
  <c r="AD73" i="8"/>
  <c r="AF73" i="8"/>
  <c r="AB73" i="8"/>
  <c r="AI16" i="8"/>
  <c r="AC16" i="8"/>
  <c r="AG16" i="8"/>
  <c r="AE16" i="8"/>
  <c r="AF94" i="8"/>
  <c r="AB94" i="8"/>
  <c r="AH94" i="8"/>
  <c r="AD94" i="8"/>
  <c r="AH80" i="8"/>
  <c r="AD80" i="8"/>
  <c r="AB80" i="8"/>
  <c r="AF80" i="8"/>
  <c r="AD46" i="8"/>
  <c r="AB46" i="8"/>
  <c r="AF46" i="8"/>
  <c r="AH46" i="8"/>
  <c r="V30" i="8"/>
  <c r="V76" i="8"/>
  <c r="W76" i="8"/>
  <c r="Y80" i="8"/>
  <c r="S30" i="8"/>
  <c r="V41" i="8"/>
  <c r="S22" i="8"/>
  <c r="S73" i="8"/>
  <c r="S64" i="8"/>
  <c r="S57" i="8"/>
  <c r="V85" i="8"/>
  <c r="Z74" i="8"/>
  <c r="Y74" i="8"/>
  <c r="Y70" i="8"/>
  <c r="Y95" i="8"/>
  <c r="Y67" i="8"/>
  <c r="V88" i="8"/>
  <c r="Y31" i="8"/>
  <c r="AC25" i="8"/>
  <c r="AG25" i="8"/>
  <c r="AI25" i="8"/>
  <c r="AE25" i="8"/>
  <c r="Z21" i="8"/>
  <c r="W84" i="8"/>
  <c r="AB89" i="8"/>
  <c r="AH89" i="8"/>
  <c r="AF89" i="8"/>
  <c r="AD89" i="8"/>
  <c r="AD27" i="8"/>
  <c r="AH27" i="8"/>
  <c r="AB27" i="8"/>
  <c r="AF27" i="8"/>
  <c r="AH72" i="8"/>
  <c r="AD72" i="8"/>
  <c r="AF72" i="8"/>
  <c r="AB72" i="8"/>
  <c r="AD32" i="8"/>
  <c r="AH32" i="8"/>
  <c r="AB32" i="8"/>
  <c r="AF32" i="8"/>
  <c r="AI50" i="8"/>
  <c r="AQ50" i="8" s="1"/>
  <c r="AC50" i="8"/>
  <c r="AN50" i="8" s="1"/>
  <c r="AE50" i="8"/>
  <c r="AO50" i="8" s="1"/>
  <c r="AG50" i="8"/>
  <c r="AP50" i="8" s="1"/>
  <c r="AF30" i="8"/>
  <c r="AH30" i="8"/>
  <c r="AB30" i="8"/>
  <c r="AD30" i="8"/>
  <c r="AG42" i="8"/>
  <c r="AC42" i="8"/>
  <c r="AI42" i="8"/>
  <c r="AE42" i="8"/>
  <c r="AG34" i="8"/>
  <c r="AP34" i="8" s="1"/>
  <c r="AC34" i="8"/>
  <c r="AN34" i="8" s="1"/>
  <c r="AI34" i="8"/>
  <c r="AQ34" i="8" s="1"/>
  <c r="AE34" i="8"/>
  <c r="AO34" i="8" s="1"/>
  <c r="AI79" i="8"/>
  <c r="AE79" i="8"/>
  <c r="AC79" i="8"/>
  <c r="AG79" i="8"/>
  <c r="AD69" i="8"/>
  <c r="AF69" i="8"/>
  <c r="AB69" i="8"/>
  <c r="AH69" i="8"/>
  <c r="AB75" i="8"/>
  <c r="AH75" i="8"/>
  <c r="AD75" i="8"/>
  <c r="AF75" i="8"/>
  <c r="AH74" i="8"/>
  <c r="AB74" i="8"/>
  <c r="AD74" i="8"/>
  <c r="AF74" i="8"/>
  <c r="AE46" i="8"/>
  <c r="AI46" i="8"/>
  <c r="AC46" i="8"/>
  <c r="AG46" i="8"/>
  <c r="AF16" i="8"/>
  <c r="AG91" i="8"/>
  <c r="AP91" i="8" s="1"/>
  <c r="AE91" i="8"/>
  <c r="AO91" i="8" s="1"/>
  <c r="AC91" i="8"/>
  <c r="AN91" i="8" s="1"/>
  <c r="AI91" i="8"/>
  <c r="AQ91" i="8" s="1"/>
  <c r="S77" i="8"/>
  <c r="T77" i="8"/>
  <c r="W42" i="8"/>
  <c r="V42" i="8"/>
  <c r="T60" i="8"/>
  <c r="S60" i="8"/>
  <c r="S93" i="8"/>
  <c r="S41" i="8"/>
  <c r="T63" i="8"/>
  <c r="S63" i="8"/>
  <c r="V91" i="8"/>
  <c r="W91" i="8"/>
  <c r="T50" i="8"/>
  <c r="S50" i="8"/>
  <c r="S28" i="8"/>
  <c r="S56" i="8"/>
  <c r="S75" i="8"/>
  <c r="V73" i="8"/>
  <c r="V38" i="8"/>
  <c r="W38" i="8"/>
  <c r="V58" i="8"/>
  <c r="T76" i="8"/>
  <c r="S76" i="8"/>
  <c r="S71" i="8"/>
  <c r="Z53" i="8"/>
  <c r="Y53" i="8"/>
  <c r="Y75" i="8"/>
  <c r="V27" i="8"/>
  <c r="Y94" i="8"/>
  <c r="T40" i="8"/>
  <c r="S40" i="8"/>
  <c r="V68" i="8"/>
  <c r="V39" i="8"/>
  <c r="W39" i="8"/>
  <c r="Y49" i="8"/>
  <c r="S70" i="8"/>
  <c r="V17" i="8"/>
  <c r="Y41" i="8"/>
  <c r="Z63" i="8"/>
  <c r="Y63" i="8"/>
  <c r="Z96" i="8"/>
  <c r="Y96" i="8"/>
  <c r="V45" i="8"/>
  <c r="V28" i="8"/>
  <c r="V46" i="8"/>
  <c r="W46" i="8"/>
  <c r="Y79" i="8"/>
  <c r="Z79" i="8"/>
  <c r="Y55" i="8"/>
  <c r="Y88" i="8"/>
  <c r="L87" i="8"/>
  <c r="M87" i="8" s="1"/>
  <c r="Y87" i="8" s="1"/>
  <c r="J87" i="8"/>
  <c r="O87" i="8" s="1"/>
  <c r="P87" i="8" s="1"/>
  <c r="Z87" i="8" s="1"/>
  <c r="AL34" i="8"/>
  <c r="S25" i="8"/>
  <c r="T25" i="8"/>
  <c r="W16" i="8"/>
  <c r="Y32" i="8"/>
  <c r="W21" i="8"/>
  <c r="V24" i="8"/>
  <c r="AG74" i="8"/>
  <c r="AE74" i="8"/>
  <c r="AI74" i="8"/>
  <c r="AC74" i="8"/>
  <c r="V59" i="8"/>
  <c r="V44" i="8"/>
  <c r="Y54" i="8"/>
  <c r="Y35" i="8"/>
  <c r="S97" i="8"/>
  <c r="Y19" i="8"/>
  <c r="V55" i="8"/>
  <c r="T29" i="8"/>
  <c r="AG21" i="8"/>
  <c r="AC21" i="8"/>
  <c r="AI21" i="8"/>
  <c r="AE21" i="8"/>
  <c r="AH44" i="8"/>
  <c r="AD44" i="8"/>
  <c r="AB44" i="8"/>
  <c r="AF44" i="8"/>
  <c r="AF56" i="8"/>
  <c r="AB56" i="8"/>
  <c r="AD56" i="8"/>
  <c r="AH56" i="8"/>
  <c r="AI76" i="8"/>
  <c r="AG76" i="8"/>
  <c r="AC76" i="8"/>
  <c r="AE76" i="8"/>
  <c r="AF28" i="8"/>
  <c r="AB28" i="8"/>
  <c r="AD28" i="8"/>
  <c r="AH28" i="8"/>
  <c r="AH47" i="8"/>
  <c r="AD47" i="8"/>
  <c r="AB47" i="8"/>
  <c r="AF47" i="8"/>
  <c r="AC96" i="8"/>
  <c r="AN96" i="8" s="1"/>
  <c r="AG96" i="8"/>
  <c r="AP96" i="8" s="1"/>
  <c r="AI96" i="8"/>
  <c r="AQ96" i="8" s="1"/>
  <c r="AE96" i="8"/>
  <c r="AO96" i="8" s="1"/>
  <c r="AF85" i="8"/>
  <c r="AB85" i="8"/>
  <c r="AH85" i="8"/>
  <c r="AD85" i="8"/>
  <c r="AE77" i="8"/>
  <c r="AO77" i="8" s="1"/>
  <c r="AI77" i="8"/>
  <c r="AQ77" i="8" s="1"/>
  <c r="AG77" i="8"/>
  <c r="AP77" i="8" s="1"/>
  <c r="AC77" i="8"/>
  <c r="AF68" i="8"/>
  <c r="AH68" i="8"/>
  <c r="AB68" i="8"/>
  <c r="AD68" i="8"/>
  <c r="AB52" i="8"/>
  <c r="AH52" i="8"/>
  <c r="AD52" i="8"/>
  <c r="AF52" i="8"/>
  <c r="AH59" i="8"/>
  <c r="AD59" i="8"/>
  <c r="AF59" i="8"/>
  <c r="AB59" i="8"/>
  <c r="AE84" i="8"/>
  <c r="AG84" i="8"/>
  <c r="AI84" i="8"/>
  <c r="AC84" i="8"/>
  <c r="AF64" i="8"/>
  <c r="AB64" i="8"/>
  <c r="AH64" i="8"/>
  <c r="AD64" i="8"/>
  <c r="AH95" i="8"/>
  <c r="AD95" i="8"/>
  <c r="AB95" i="8"/>
  <c r="AF95" i="8"/>
  <c r="AF86" i="8"/>
  <c r="AB86" i="8"/>
  <c r="AH86" i="8"/>
  <c r="AD86" i="8"/>
  <c r="AI53" i="8"/>
  <c r="AE53" i="8"/>
  <c r="AG53" i="8"/>
  <c r="AC53" i="8"/>
  <c r="AH79" i="8"/>
  <c r="AD79" i="8"/>
  <c r="AB79" i="8"/>
  <c r="AF79" i="8"/>
  <c r="AC26" i="8"/>
  <c r="AN26" i="8" s="1"/>
  <c r="AG26" i="8"/>
  <c r="AP26" i="8" s="1"/>
  <c r="AE26" i="8"/>
  <c r="AO26" i="8" s="1"/>
  <c r="AI26" i="8"/>
  <c r="AQ26" i="8" s="1"/>
  <c r="AB21" i="8"/>
  <c r="Y39" i="8"/>
  <c r="Z39" i="8"/>
  <c r="Y64" i="8"/>
  <c r="V97" i="8"/>
  <c r="Y47" i="8"/>
  <c r="T96" i="8"/>
  <c r="S96" i="8"/>
  <c r="S89" i="8"/>
  <c r="S35" i="8"/>
  <c r="Y68" i="8"/>
  <c r="Y90" i="8"/>
  <c r="Z76" i="8"/>
  <c r="AM76" i="8" s="1"/>
  <c r="V77" i="8"/>
  <c r="W77" i="8"/>
  <c r="S42" i="8"/>
  <c r="T42" i="8"/>
  <c r="V60" i="8"/>
  <c r="W60" i="8"/>
  <c r="Z86" i="8"/>
  <c r="Y86" i="8"/>
  <c r="Y20" i="8"/>
  <c r="Z20" i="8"/>
  <c r="V57" i="8"/>
  <c r="Y85" i="8"/>
  <c r="Y45" i="8"/>
  <c r="S19" i="8"/>
  <c r="T46" i="8"/>
  <c r="S46" i="8"/>
  <c r="V72" i="8"/>
  <c r="V26" i="8"/>
  <c r="W26" i="8"/>
  <c r="S54" i="8"/>
  <c r="V47" i="8"/>
  <c r="Y22" i="8"/>
  <c r="Z50" i="8"/>
  <c r="Y50" i="8"/>
  <c r="V62" i="8"/>
  <c r="V90" i="8"/>
  <c r="Z77" i="8"/>
  <c r="AM77" i="8" s="1"/>
  <c r="S86" i="8"/>
  <c r="Y71" i="8"/>
  <c r="Z91" i="8"/>
  <c r="AM91" i="8" s="1"/>
  <c r="V56" i="8"/>
  <c r="V69" i="8"/>
  <c r="S67" i="8"/>
  <c r="V98" i="8"/>
  <c r="S85" i="8"/>
  <c r="V74" i="8"/>
  <c r="AL74" i="8" s="1"/>
  <c r="J81" i="8"/>
  <c r="O81" i="8" s="1"/>
  <c r="P81" i="8" s="1"/>
  <c r="W81" i="8" s="1"/>
  <c r="L81" i="8"/>
  <c r="M81" i="8" s="1"/>
  <c r="T87" i="8"/>
  <c r="S31" i="8"/>
  <c r="Y52" i="8"/>
  <c r="AL96" i="8"/>
  <c r="Z83" i="8"/>
  <c r="Z29" i="8"/>
  <c r="V25" i="8"/>
  <c r="W25" i="8"/>
  <c r="Y16" i="8"/>
  <c r="Z16" i="8"/>
  <c r="V32" i="8"/>
  <c r="T21" i="8"/>
  <c r="S21" i="8"/>
  <c r="Z84" i="8"/>
  <c r="AE38" i="8"/>
  <c r="AG38" i="8"/>
  <c r="AC38" i="8"/>
  <c r="AI38" i="8"/>
  <c r="AF19" i="8"/>
  <c r="AB19" i="8"/>
  <c r="AD19" i="8"/>
  <c r="AH19" i="8"/>
  <c r="AH49" i="8"/>
  <c r="AD49" i="8"/>
  <c r="AF49" i="8"/>
  <c r="AB49" i="8"/>
  <c r="AG40" i="8"/>
  <c r="AE40" i="8"/>
  <c r="AC40" i="8"/>
  <c r="AI40" i="8"/>
  <c r="AF93" i="8"/>
  <c r="AB93" i="8"/>
  <c r="AH93" i="8"/>
  <c r="AD93" i="8"/>
  <c r="AH36" i="8"/>
  <c r="AB36" i="8"/>
  <c r="AD36" i="8"/>
  <c r="AF36" i="8"/>
  <c r="AD57" i="8"/>
  <c r="AF57" i="8"/>
  <c r="AB57" i="8"/>
  <c r="AH57" i="8"/>
  <c r="AF61" i="8"/>
  <c r="AB61" i="8"/>
  <c r="AH61" i="8"/>
  <c r="AD61" i="8"/>
  <c r="AH60" i="8"/>
  <c r="AB60" i="8"/>
  <c r="AD60" i="8"/>
  <c r="AF60" i="8"/>
  <c r="AF25" i="8"/>
  <c r="AH25" i="8"/>
  <c r="AQ25" i="8" s="1"/>
  <c r="AD25" i="8"/>
  <c r="AB25" i="8"/>
  <c r="AH20" i="8"/>
  <c r="AD20" i="8"/>
  <c r="AF20" i="8"/>
  <c r="AB20" i="8"/>
  <c r="Y73" i="8"/>
  <c r="Y58" i="8"/>
  <c r="S34" i="8"/>
  <c r="T34" i="8"/>
  <c r="V19" i="8"/>
  <c r="T74" i="8"/>
  <c r="S74" i="8"/>
  <c r="V61" i="8"/>
  <c r="Y17" i="8"/>
  <c r="Y89" i="8"/>
  <c r="Y62" i="8"/>
  <c r="Z42" i="8"/>
  <c r="Y42" i="8"/>
  <c r="V36" i="8"/>
  <c r="Y34" i="8"/>
  <c r="Z34" i="8"/>
  <c r="Y44" i="8"/>
  <c r="Y69" i="8"/>
  <c r="Y46" i="8"/>
  <c r="Y24" i="8"/>
  <c r="V52" i="8"/>
  <c r="S32" i="8"/>
  <c r="W83" i="8"/>
  <c r="AG63" i="8"/>
  <c r="AP63" i="8" s="1"/>
  <c r="AC63" i="8"/>
  <c r="AN63" i="8" s="1"/>
  <c r="AI63" i="8"/>
  <c r="AQ63" i="8" s="1"/>
  <c r="AE63" i="8"/>
  <c r="AO63" i="8" s="1"/>
  <c r="AB97" i="8"/>
  <c r="AH97" i="8"/>
  <c r="AD97" i="8"/>
  <c r="AF97" i="8"/>
  <c r="AH17" i="8"/>
  <c r="AB17" i="8"/>
  <c r="AF17" i="8"/>
  <c r="AD17" i="8"/>
  <c r="AH31" i="8"/>
  <c r="AB31" i="8"/>
  <c r="AF31" i="8"/>
  <c r="AD31" i="8"/>
  <c r="AF58" i="8"/>
  <c r="AB58" i="8"/>
  <c r="AD58" i="8"/>
  <c r="AH58" i="8"/>
  <c r="AF62" i="8"/>
  <c r="AB62" i="8"/>
  <c r="AH62" i="8"/>
  <c r="AD62" i="8"/>
  <c r="AC20" i="8"/>
  <c r="AG20" i="8"/>
  <c r="AI20" i="8"/>
  <c r="AE20" i="8"/>
  <c r="AI39" i="8"/>
  <c r="AQ39" i="8" s="1"/>
  <c r="AE39" i="8"/>
  <c r="AO39" i="8" s="1"/>
  <c r="AC39" i="8"/>
  <c r="AN39" i="8" s="1"/>
  <c r="AG39" i="8"/>
  <c r="AP39" i="8" s="1"/>
  <c r="AF67" i="8"/>
  <c r="AB67" i="8"/>
  <c r="AH67" i="8"/>
  <c r="AD67" i="8"/>
  <c r="AH22" i="8"/>
  <c r="AB22" i="8"/>
  <c r="AD22" i="8"/>
  <c r="AF22" i="8"/>
  <c r="AF90" i="8"/>
  <c r="AB90" i="8"/>
  <c r="AH90" i="8"/>
  <c r="AD90" i="8"/>
  <c r="AF54" i="8"/>
  <c r="AB54" i="8"/>
  <c r="AH54" i="8"/>
  <c r="AD54" i="8"/>
  <c r="AF45" i="8"/>
  <c r="AD45" i="8"/>
  <c r="AB45" i="8"/>
  <c r="AH45" i="8"/>
  <c r="AF41" i="8"/>
  <c r="AH41" i="8"/>
  <c r="AB41" i="8"/>
  <c r="AD41" i="8"/>
  <c r="AF55" i="8"/>
  <c r="AB55" i="8"/>
  <c r="AH55" i="8"/>
  <c r="AD55" i="8"/>
  <c r="AI60" i="8"/>
  <c r="AE60" i="8"/>
  <c r="AG60" i="8"/>
  <c r="AC60" i="8"/>
  <c r="AC86" i="8"/>
  <c r="AI86" i="8"/>
  <c r="AE86" i="8"/>
  <c r="AG86" i="8"/>
  <c r="AB53" i="8"/>
  <c r="AH53" i="8"/>
  <c r="AD53" i="8"/>
  <c r="AF53" i="8"/>
  <c r="AH42" i="8"/>
  <c r="AD42" i="8"/>
  <c r="AF42" i="8"/>
  <c r="AB42" i="8"/>
  <c r="AG83" i="8"/>
  <c r="AC83" i="8"/>
  <c r="AI83" i="8"/>
  <c r="AE83" i="8"/>
  <c r="AD40" i="8"/>
  <c r="AF40" i="8"/>
  <c r="AH40" i="8"/>
  <c r="AB40" i="8"/>
  <c r="AD38" i="8"/>
  <c r="AO38" i="8" s="1"/>
  <c r="AF38" i="8"/>
  <c r="AB38" i="8"/>
  <c r="AH38" i="8"/>
  <c r="AH76" i="8"/>
  <c r="AB76" i="8"/>
  <c r="AF76" i="8"/>
  <c r="AD76" i="8"/>
  <c r="T26" i="8"/>
  <c r="S26" i="8"/>
  <c r="S49" i="8"/>
  <c r="V71" i="8"/>
  <c r="Y57" i="8"/>
  <c r="V75" i="8"/>
  <c r="S27" i="8"/>
  <c r="S94" i="8"/>
  <c r="V40" i="8"/>
  <c r="W40" i="8"/>
  <c r="S72" i="8"/>
  <c r="V64" i="8"/>
  <c r="Y97" i="8"/>
  <c r="S53" i="8"/>
  <c r="S39" i="8"/>
  <c r="T39" i="8"/>
  <c r="Y26" i="8"/>
  <c r="Z26" i="8"/>
  <c r="V70" i="8"/>
  <c r="V93" i="8"/>
  <c r="S36" i="8"/>
  <c r="S59" i="8"/>
  <c r="T91" i="8"/>
  <c r="S91" i="8"/>
  <c r="V50" i="8"/>
  <c r="W50" i="8"/>
  <c r="Y56" i="8"/>
  <c r="T79" i="8"/>
  <c r="S79" i="8"/>
  <c r="AN77" i="8"/>
  <c r="Y60" i="8"/>
  <c r="AM60" i="8" s="1"/>
  <c r="Y59" i="8"/>
  <c r="S61" i="8"/>
  <c r="Z38" i="8"/>
  <c r="Y38" i="8"/>
  <c r="S58" i="8"/>
  <c r="W86" i="8"/>
  <c r="V86" i="8"/>
  <c r="V20" i="8"/>
  <c r="W20" i="8"/>
  <c r="V53" i="8"/>
  <c r="W53" i="8"/>
  <c r="V80" i="8"/>
  <c r="Y27" i="8"/>
  <c r="V89" i="8"/>
  <c r="V35" i="8"/>
  <c r="S68" i="8"/>
  <c r="S17" i="8"/>
  <c r="S80" i="8"/>
  <c r="V95" i="8"/>
  <c r="S69" i="8"/>
  <c r="V67" i="8"/>
  <c r="Y98" i="8"/>
  <c r="V22" i="8"/>
  <c r="V94" i="8"/>
  <c r="Z46" i="8"/>
  <c r="S88" i="8"/>
  <c r="S24" i="8"/>
  <c r="W87" i="8"/>
  <c r="V31" i="8"/>
  <c r="S52" i="8"/>
  <c r="T16" i="8"/>
  <c r="S16" i="8"/>
  <c r="Y72" i="8"/>
  <c r="W29" i="8"/>
  <c r="Y25" i="8"/>
  <c r="Z25" i="8"/>
  <c r="T83" i="8"/>
  <c r="T84" i="8"/>
  <c r="AD62" i="6"/>
  <c r="AF62" i="6"/>
  <c r="AB62" i="6"/>
  <c r="AH62" i="6"/>
  <c r="AD90" i="6"/>
  <c r="AF90" i="6"/>
  <c r="AB90" i="6"/>
  <c r="AH90" i="6"/>
  <c r="AH60" i="6"/>
  <c r="AB60" i="6"/>
  <c r="AF60" i="6"/>
  <c r="AD60" i="6"/>
  <c r="AI105" i="6"/>
  <c r="AE105" i="6"/>
  <c r="AO105" i="6" s="1"/>
  <c r="AC105" i="6"/>
  <c r="AN105" i="6" s="1"/>
  <c r="AG105" i="6"/>
  <c r="AP105" i="6" s="1"/>
  <c r="AF125" i="6"/>
  <c r="AB125" i="6"/>
  <c r="AH125" i="6"/>
  <c r="AD125" i="6"/>
  <c r="AG43" i="6"/>
  <c r="AC43" i="6"/>
  <c r="AN43" i="6" s="1"/>
  <c r="AI43" i="6"/>
  <c r="AQ43" i="6" s="1"/>
  <c r="AE43" i="6"/>
  <c r="AO43" i="6" s="1"/>
  <c r="AH45" i="6"/>
  <c r="AB45" i="6"/>
  <c r="AF45" i="6"/>
  <c r="AD45" i="6"/>
  <c r="AH64" i="6"/>
  <c r="AF64" i="6"/>
  <c r="AB64" i="6"/>
  <c r="AD64" i="6"/>
  <c r="AH98" i="6"/>
  <c r="AF98" i="6"/>
  <c r="AD98" i="6"/>
  <c r="AB98" i="6"/>
  <c r="AH114" i="6"/>
  <c r="AD114" i="6"/>
  <c r="AB114" i="6"/>
  <c r="AF114" i="6"/>
  <c r="AH58" i="6"/>
  <c r="AD58" i="6"/>
  <c r="AF58" i="6"/>
  <c r="AB58" i="6"/>
  <c r="AB70" i="6"/>
  <c r="AD70" i="6"/>
  <c r="AH70" i="6"/>
  <c r="AF70" i="6"/>
  <c r="AH93" i="6"/>
  <c r="AB93" i="6"/>
  <c r="AF93" i="6"/>
  <c r="AD93" i="6"/>
  <c r="AF40" i="6"/>
  <c r="AF71" i="6"/>
  <c r="AD71" i="6"/>
  <c r="AH71" i="6"/>
  <c r="AB71" i="6"/>
  <c r="AF77" i="6"/>
  <c r="AB77" i="6"/>
  <c r="AD77" i="6"/>
  <c r="AH77" i="6"/>
  <c r="AF122" i="6"/>
  <c r="AB122" i="6"/>
  <c r="AH122" i="6"/>
  <c r="AD122" i="6"/>
  <c r="AH87" i="6"/>
  <c r="AB87" i="6"/>
  <c r="AF87" i="6"/>
  <c r="AD87" i="6"/>
  <c r="AB103" i="6"/>
  <c r="AF103" i="6"/>
  <c r="AD103" i="6"/>
  <c r="AH103" i="6"/>
  <c r="AF39" i="6"/>
  <c r="AB39" i="6"/>
  <c r="AD39" i="6"/>
  <c r="AH39" i="6"/>
  <c r="AF83" i="6"/>
  <c r="AH83" i="6"/>
  <c r="AB83" i="6"/>
  <c r="AD83" i="6"/>
  <c r="AH27" i="6"/>
  <c r="AB27" i="6"/>
  <c r="AD27" i="6"/>
  <c r="AF27" i="6"/>
  <c r="AD73" i="6"/>
  <c r="AF73" i="6"/>
  <c r="AB73" i="6"/>
  <c r="AH73" i="6"/>
  <c r="AF131" i="6"/>
  <c r="AB131" i="6"/>
  <c r="AH131" i="6"/>
  <c r="AD131" i="6"/>
  <c r="AF128" i="6"/>
  <c r="AB128" i="6"/>
  <c r="AH128" i="6"/>
  <c r="AD128" i="6"/>
  <c r="AF52" i="6"/>
  <c r="AB52" i="6"/>
  <c r="AD52" i="6"/>
  <c r="AH52" i="6"/>
  <c r="Y90" i="6"/>
  <c r="Y18" i="6"/>
  <c r="Y50" i="6"/>
  <c r="Y83" i="6"/>
  <c r="Y30" i="6"/>
  <c r="V60" i="6"/>
  <c r="Y93" i="6"/>
  <c r="Y125" i="6"/>
  <c r="Y24" i="6"/>
  <c r="Y74" i="6"/>
  <c r="V18" i="6"/>
  <c r="V50" i="6"/>
  <c r="V83" i="6"/>
  <c r="V30" i="6"/>
  <c r="Y60" i="6"/>
  <c r="V93" i="6"/>
  <c r="V125" i="6"/>
  <c r="Y35" i="6"/>
  <c r="V63" i="6"/>
  <c r="V87" i="6"/>
  <c r="V107" i="6"/>
  <c r="Y62" i="6"/>
  <c r="Z95" i="6"/>
  <c r="Y95" i="6"/>
  <c r="Y126" i="6"/>
  <c r="Y42" i="6"/>
  <c r="Y104" i="6"/>
  <c r="V20" i="6"/>
  <c r="V44" i="6"/>
  <c r="AF57" i="6"/>
  <c r="AH57" i="6"/>
  <c r="AD57" i="6"/>
  <c r="AB57" i="6"/>
  <c r="Y53" i="6"/>
  <c r="Y118" i="6"/>
  <c r="V39" i="6"/>
  <c r="V71" i="6"/>
  <c r="V101" i="6"/>
  <c r="Y49" i="6"/>
  <c r="V82" i="6"/>
  <c r="V114" i="6"/>
  <c r="V127" i="6"/>
  <c r="V118" i="6"/>
  <c r="AB35" i="6"/>
  <c r="AH35" i="6"/>
  <c r="AF35" i="6"/>
  <c r="AD35" i="6"/>
  <c r="AB19" i="6"/>
  <c r="AD47" i="6"/>
  <c r="AF104" i="6"/>
  <c r="AB104" i="6"/>
  <c r="AD104" i="6"/>
  <c r="AH104" i="6"/>
  <c r="AD100" i="6"/>
  <c r="AF100" i="6"/>
  <c r="AB100" i="6"/>
  <c r="AH100" i="6"/>
  <c r="AF109" i="6"/>
  <c r="AB109" i="6"/>
  <c r="AH109" i="6"/>
  <c r="AD109" i="6"/>
  <c r="AB126" i="6"/>
  <c r="AH126" i="6"/>
  <c r="AD126" i="6"/>
  <c r="AF126" i="6"/>
  <c r="AC89" i="6"/>
  <c r="AG89" i="6"/>
  <c r="AE89" i="6"/>
  <c r="AI89" i="6"/>
  <c r="AQ89" i="6" s="1"/>
  <c r="AF67" i="6"/>
  <c r="AB67" i="6"/>
  <c r="AH67" i="6"/>
  <c r="AD67" i="6"/>
  <c r="AC116" i="6"/>
  <c r="AN116" i="6" s="1"/>
  <c r="AG116" i="6"/>
  <c r="AP116" i="6" s="1"/>
  <c r="AI116" i="6"/>
  <c r="AE116" i="6"/>
  <c r="AH36" i="6"/>
  <c r="AH66" i="6"/>
  <c r="AD66" i="6"/>
  <c r="AF66" i="6"/>
  <c r="AB66" i="6"/>
  <c r="AF96" i="6"/>
  <c r="AB96" i="6"/>
  <c r="AD96" i="6"/>
  <c r="AH96" i="6"/>
  <c r="AH30" i="6"/>
  <c r="AB30" i="6"/>
  <c r="AF30" i="6"/>
  <c r="AD30" i="6"/>
  <c r="AE99" i="6"/>
  <c r="AO99" i="6" s="1"/>
  <c r="AH75" i="6"/>
  <c r="AD75" i="6"/>
  <c r="AB75" i="6"/>
  <c r="AF28" i="6"/>
  <c r="AD28" i="6"/>
  <c r="AB28" i="6"/>
  <c r="AH28" i="6"/>
  <c r="AD56" i="6"/>
  <c r="AF56" i="6"/>
  <c r="AB56" i="6"/>
  <c r="AH56" i="6"/>
  <c r="AD112" i="6"/>
  <c r="AF112" i="6"/>
  <c r="AB112" i="6"/>
  <c r="AH112" i="6"/>
  <c r="AH38" i="6"/>
  <c r="AD38" i="6"/>
  <c r="AF38" i="6"/>
  <c r="AB38" i="6"/>
  <c r="AC78" i="6"/>
  <c r="AG78" i="6"/>
  <c r="AE78" i="6"/>
  <c r="AI78" i="6"/>
  <c r="AH119" i="6"/>
  <c r="AD127" i="6"/>
  <c r="AF127" i="6"/>
  <c r="AB127" i="6"/>
  <c r="AH127" i="6"/>
  <c r="AB111" i="6"/>
  <c r="AH111" i="6"/>
  <c r="AD111" i="6"/>
  <c r="AF111" i="6"/>
  <c r="Y96" i="6"/>
  <c r="Y27" i="6"/>
  <c r="Y89" i="6"/>
  <c r="Z89" i="6"/>
  <c r="Y122" i="6"/>
  <c r="Y38" i="6"/>
  <c r="Y70" i="6"/>
  <c r="L59" i="6"/>
  <c r="M59" i="6" s="1"/>
  <c r="V59" i="6" s="1"/>
  <c r="J59" i="6"/>
  <c r="V41" i="6"/>
  <c r="V100" i="6"/>
  <c r="V27" i="6"/>
  <c r="V89" i="6"/>
  <c r="W89" i="6"/>
  <c r="V122" i="6"/>
  <c r="V38" i="6"/>
  <c r="V70" i="6"/>
  <c r="V75" i="6"/>
  <c r="V52" i="6"/>
  <c r="Y63" i="6"/>
  <c r="V36" i="6"/>
  <c r="Y87" i="6"/>
  <c r="V74" i="6"/>
  <c r="Y112" i="6"/>
  <c r="Y39" i="6"/>
  <c r="Y71" i="6"/>
  <c r="Y101" i="6"/>
  <c r="V49" i="6"/>
  <c r="Y82" i="6"/>
  <c r="Y114" i="6"/>
  <c r="Y20" i="6"/>
  <c r="AO89" i="6"/>
  <c r="V56" i="6"/>
  <c r="Y44" i="6"/>
  <c r="AQ116" i="6"/>
  <c r="V84" i="6"/>
  <c r="Y123" i="6"/>
  <c r="V45" i="6"/>
  <c r="W78" i="6"/>
  <c r="V78" i="6"/>
  <c r="V111" i="6"/>
  <c r="W111" i="6"/>
  <c r="V26" i="6"/>
  <c r="Y58" i="6"/>
  <c r="V88" i="6"/>
  <c r="V121" i="6"/>
  <c r="Y127" i="6"/>
  <c r="Y64" i="6"/>
  <c r="V113" i="6"/>
  <c r="AB26" i="6"/>
  <c r="AH26" i="6"/>
  <c r="AF26" i="6"/>
  <c r="AD26" i="6"/>
  <c r="AF24" i="6"/>
  <c r="AH24" i="6"/>
  <c r="AD24" i="6"/>
  <c r="AB24" i="6"/>
  <c r="AF101" i="6"/>
  <c r="AH101" i="6"/>
  <c r="AB101" i="6"/>
  <c r="AD101" i="6"/>
  <c r="AF74" i="6"/>
  <c r="AH74" i="6"/>
  <c r="AD74" i="6"/>
  <c r="AB74" i="6"/>
  <c r="AB44" i="6"/>
  <c r="AF44" i="6"/>
  <c r="AH44" i="6"/>
  <c r="AD44" i="6"/>
  <c r="AH54" i="6"/>
  <c r="AF54" i="6"/>
  <c r="AB54" i="6"/>
  <c r="AD54" i="6"/>
  <c r="AG73" i="6"/>
  <c r="AE73" i="6"/>
  <c r="AI73" i="6"/>
  <c r="AQ73" i="6" s="1"/>
  <c r="AC73" i="6"/>
  <c r="AD84" i="6"/>
  <c r="AF84" i="6"/>
  <c r="AB84" i="6"/>
  <c r="AH84" i="6"/>
  <c r="AD108" i="6"/>
  <c r="AH107" i="6"/>
  <c r="AF107" i="6"/>
  <c r="AB107" i="6"/>
  <c r="AD107" i="6"/>
  <c r="AB55" i="6"/>
  <c r="AH55" i="6"/>
  <c r="AD55" i="6"/>
  <c r="AF55" i="6"/>
  <c r="AF82" i="6"/>
  <c r="AB82" i="6"/>
  <c r="AD82" i="6"/>
  <c r="AH82" i="6"/>
  <c r="AH121" i="6"/>
  <c r="AD121" i="6"/>
  <c r="AF121" i="6"/>
  <c r="AB121" i="6"/>
  <c r="AF63" i="6"/>
  <c r="AH63" i="6"/>
  <c r="AD63" i="6"/>
  <c r="AB63" i="6"/>
  <c r="AB21" i="6"/>
  <c r="AD21" i="6"/>
  <c r="AH21" i="6"/>
  <c r="AF21" i="6"/>
  <c r="AF88" i="6"/>
  <c r="AB88" i="6"/>
  <c r="AD88" i="6"/>
  <c r="AH88" i="6"/>
  <c r="AF18" i="6"/>
  <c r="AB18" i="6"/>
  <c r="AH18" i="6"/>
  <c r="AD18" i="6"/>
  <c r="AD41" i="6"/>
  <c r="AF41" i="6"/>
  <c r="AB41" i="6"/>
  <c r="AH41" i="6"/>
  <c r="AH53" i="6"/>
  <c r="AD53" i="6"/>
  <c r="AF53" i="6"/>
  <c r="AB53" i="6"/>
  <c r="AF97" i="6"/>
  <c r="AH97" i="6"/>
  <c r="AD97" i="6"/>
  <c r="AB97" i="6"/>
  <c r="AB69" i="6"/>
  <c r="AF48" i="6"/>
  <c r="AH34" i="6"/>
  <c r="AF34" i="6"/>
  <c r="AD34" i="6"/>
  <c r="AB34" i="6"/>
  <c r="Y100" i="6"/>
  <c r="Z34" i="6"/>
  <c r="Y34" i="6"/>
  <c r="Y67" i="6"/>
  <c r="Y99" i="6"/>
  <c r="Y131" i="6"/>
  <c r="Y77" i="6"/>
  <c r="Y109" i="6"/>
  <c r="J85" i="6"/>
  <c r="L85" i="6"/>
  <c r="M85" i="6" s="1"/>
  <c r="S85" i="6" s="1"/>
  <c r="J124" i="6"/>
  <c r="L124" i="6"/>
  <c r="M124" i="6" s="1"/>
  <c r="S124" i="6" s="1"/>
  <c r="V72" i="6"/>
  <c r="L81" i="6"/>
  <c r="M81" i="6" s="1"/>
  <c r="S81" i="6" s="1"/>
  <c r="J81" i="6"/>
  <c r="V48" i="6"/>
  <c r="Y41" i="6"/>
  <c r="V34" i="6"/>
  <c r="W34" i="6"/>
  <c r="V67" i="6"/>
  <c r="V99" i="6"/>
  <c r="V131" i="6"/>
  <c r="V77" i="6"/>
  <c r="V109" i="6"/>
  <c r="AP43" i="6"/>
  <c r="V28" i="6"/>
  <c r="Y52" i="6"/>
  <c r="Y36" i="6"/>
  <c r="V103" i="6"/>
  <c r="V80" i="6"/>
  <c r="Y45" i="6"/>
  <c r="Z78" i="6"/>
  <c r="Y78" i="6"/>
  <c r="Z111" i="6"/>
  <c r="Y111" i="6"/>
  <c r="Y26" i="6"/>
  <c r="V58" i="6"/>
  <c r="Y88" i="6"/>
  <c r="Y121" i="6"/>
  <c r="AF20" i="6"/>
  <c r="AD20" i="6"/>
  <c r="AB20" i="6"/>
  <c r="AH20" i="6"/>
  <c r="Y56" i="6"/>
  <c r="V57" i="6"/>
  <c r="V91" i="6"/>
  <c r="V90" i="6"/>
  <c r="V22" i="6"/>
  <c r="V55" i="6"/>
  <c r="V117" i="6"/>
  <c r="V33" i="6"/>
  <c r="V66" i="6"/>
  <c r="V98" i="6"/>
  <c r="V128" i="6"/>
  <c r="V64" i="6"/>
  <c r="Y80" i="6"/>
  <c r="AQ105" i="6"/>
  <c r="V97" i="6"/>
  <c r="Y113" i="6"/>
  <c r="AD32" i="6"/>
  <c r="AF32" i="6"/>
  <c r="AB32" i="6"/>
  <c r="AH32" i="6"/>
  <c r="AH68" i="6"/>
  <c r="AD68" i="6"/>
  <c r="AF68" i="6"/>
  <c r="AB68" i="6"/>
  <c r="AH49" i="6"/>
  <c r="AD49" i="6"/>
  <c r="AF49" i="6"/>
  <c r="AB49" i="6"/>
  <c r="AF33" i="6"/>
  <c r="AH33" i="6"/>
  <c r="AD33" i="6"/>
  <c r="AB33" i="6"/>
  <c r="AF86" i="6"/>
  <c r="AB86" i="6"/>
  <c r="AD86" i="6"/>
  <c r="AH86" i="6"/>
  <c r="AF123" i="6"/>
  <c r="AB123" i="6"/>
  <c r="AH123" i="6"/>
  <c r="AD123" i="6"/>
  <c r="AC34" i="6"/>
  <c r="AI34" i="6"/>
  <c r="AE34" i="6"/>
  <c r="AG34" i="6"/>
  <c r="AB16" i="6"/>
  <c r="AH22" i="6"/>
  <c r="AD22" i="6"/>
  <c r="AF22" i="6"/>
  <c r="AB22" i="6"/>
  <c r="AB50" i="6"/>
  <c r="AF50" i="6"/>
  <c r="AH50" i="6"/>
  <c r="AD50" i="6"/>
  <c r="AB80" i="6"/>
  <c r="AF80" i="6"/>
  <c r="AH80" i="6"/>
  <c r="AD80" i="6"/>
  <c r="AH42" i="6"/>
  <c r="AB42" i="6"/>
  <c r="AF42" i="6"/>
  <c r="AD42" i="6"/>
  <c r="AI111" i="6"/>
  <c r="AE111" i="6"/>
  <c r="AG111" i="6"/>
  <c r="AC111" i="6"/>
  <c r="AD118" i="6"/>
  <c r="AB118" i="6"/>
  <c r="AF118" i="6"/>
  <c r="AH118" i="6"/>
  <c r="AB117" i="6"/>
  <c r="AH117" i="6"/>
  <c r="AD117" i="6"/>
  <c r="AF117" i="6"/>
  <c r="AG95" i="6"/>
  <c r="AP95" i="6" s="1"/>
  <c r="AI95" i="6"/>
  <c r="AQ95" i="6" s="1"/>
  <c r="AC95" i="6"/>
  <c r="AN95" i="6" s="1"/>
  <c r="AE95" i="6"/>
  <c r="AO95" i="6" s="1"/>
  <c r="AH72" i="6"/>
  <c r="AD72" i="6"/>
  <c r="AF72" i="6"/>
  <c r="AB72" i="6"/>
  <c r="AF113" i="6"/>
  <c r="AB113" i="6"/>
  <c r="AH113" i="6"/>
  <c r="AD113" i="6"/>
  <c r="AH78" i="6"/>
  <c r="AD78" i="6"/>
  <c r="AO78" i="6" s="1"/>
  <c r="AF78" i="6"/>
  <c r="AP78" i="6" s="1"/>
  <c r="AB78" i="6"/>
  <c r="AG128" i="6"/>
  <c r="Y68" i="6"/>
  <c r="V123" i="6"/>
  <c r="V43" i="6"/>
  <c r="W43" i="6"/>
  <c r="Y73" i="6"/>
  <c r="Z73" i="6"/>
  <c r="Z105" i="6"/>
  <c r="Y105" i="6"/>
  <c r="Y21" i="6"/>
  <c r="Y54" i="6"/>
  <c r="Y86" i="6"/>
  <c r="Z116" i="6"/>
  <c r="Y116" i="6"/>
  <c r="V24" i="6"/>
  <c r="V68" i="6"/>
  <c r="Y107" i="6"/>
  <c r="Z43" i="6"/>
  <c r="Y43" i="6"/>
  <c r="W73" i="6"/>
  <c r="V73" i="6"/>
  <c r="W105" i="6"/>
  <c r="V105" i="6"/>
  <c r="V21" i="6"/>
  <c r="V54" i="6"/>
  <c r="V86" i="6"/>
  <c r="W116" i="6"/>
  <c r="V116" i="6"/>
  <c r="V35" i="6"/>
  <c r="Y28" i="6"/>
  <c r="V32" i="6"/>
  <c r="Y103" i="6"/>
  <c r="Y84" i="6"/>
  <c r="Y22" i="6"/>
  <c r="Y55" i="6"/>
  <c r="Y117" i="6"/>
  <c r="Y33" i="6"/>
  <c r="Y66" i="6"/>
  <c r="Y98" i="6"/>
  <c r="Y128" i="6"/>
  <c r="V96" i="6"/>
  <c r="Y57" i="6"/>
  <c r="V53" i="6"/>
  <c r="Y91" i="6"/>
  <c r="V62" i="6"/>
  <c r="W95" i="6"/>
  <c r="V95" i="6"/>
  <c r="V126" i="6"/>
  <c r="V42" i="6"/>
  <c r="V104" i="6"/>
  <c r="V112" i="6"/>
  <c r="L29" i="6"/>
  <c r="M29" i="6" s="1"/>
  <c r="S29" i="6" s="1"/>
  <c r="J29" i="6"/>
  <c r="V16" i="6"/>
  <c r="V119" i="6"/>
  <c r="Y97" i="6"/>
  <c r="O127" i="6"/>
  <c r="P127" i="6" s="1"/>
  <c r="T127" i="6" s="1"/>
  <c r="AK127" i="6" s="1"/>
  <c r="O131" i="6"/>
  <c r="P131" i="6" s="1"/>
  <c r="T131" i="6" s="1"/>
  <c r="O56" i="8"/>
  <c r="P56" i="8" s="1"/>
  <c r="O24" i="8"/>
  <c r="P24" i="8" s="1"/>
  <c r="T24" i="8" s="1"/>
  <c r="O27" i="8"/>
  <c r="P27" i="8" s="1"/>
  <c r="O19" i="8"/>
  <c r="P19" i="8" s="1"/>
  <c r="T19" i="8" s="1"/>
  <c r="O68" i="8"/>
  <c r="P68" i="8" s="1"/>
  <c r="W68" i="8" s="1"/>
  <c r="O88" i="8"/>
  <c r="P88" i="8" s="1"/>
  <c r="T88" i="8" s="1"/>
  <c r="O52" i="8"/>
  <c r="P52" i="8" s="1"/>
  <c r="W52" i="8" s="1"/>
  <c r="O73" i="8"/>
  <c r="P73" i="8" s="1"/>
  <c r="O54" i="8"/>
  <c r="P54" i="8" s="1"/>
  <c r="Z54" i="8" s="1"/>
  <c r="O61" i="8"/>
  <c r="P61" i="8" s="1"/>
  <c r="O75" i="8"/>
  <c r="P75" i="8" s="1"/>
  <c r="O97" i="8"/>
  <c r="P97" i="8" s="1"/>
  <c r="T97" i="8" s="1"/>
  <c r="O28" i="8"/>
  <c r="P28" i="8" s="1"/>
  <c r="O17" i="8"/>
  <c r="P17" i="8" s="1"/>
  <c r="O62" i="8"/>
  <c r="P62" i="8" s="1"/>
  <c r="Z62" i="8" s="1"/>
  <c r="O59" i="8"/>
  <c r="P59" i="8" s="1"/>
  <c r="O67" i="8"/>
  <c r="P67" i="8" s="1"/>
  <c r="O90" i="8"/>
  <c r="P90" i="8" s="1"/>
  <c r="Z90" i="8" s="1"/>
  <c r="O80" i="8"/>
  <c r="P80" i="8" s="1"/>
  <c r="Z80" i="8" s="1"/>
  <c r="O89" i="8"/>
  <c r="P89" i="8" s="1"/>
  <c r="Z89" i="8" s="1"/>
  <c r="O47" i="8"/>
  <c r="P47" i="8" s="1"/>
  <c r="W47" i="8" s="1"/>
  <c r="O71" i="8"/>
  <c r="P71" i="8" s="1"/>
  <c r="O72" i="8"/>
  <c r="P72" i="8" s="1"/>
  <c r="O85" i="8"/>
  <c r="P85" i="8" s="1"/>
  <c r="W85" i="8" s="1"/>
  <c r="O98" i="8"/>
  <c r="P98" i="8" s="1"/>
  <c r="W98" i="8" s="1"/>
  <c r="O49" i="8"/>
  <c r="P49" i="8" s="1"/>
  <c r="Z49" i="8" s="1"/>
  <c r="O93" i="8"/>
  <c r="P93" i="8" s="1"/>
  <c r="O30" i="8"/>
  <c r="P30" i="8" s="1"/>
  <c r="T30" i="8" s="1"/>
  <c r="O64" i="8"/>
  <c r="P64" i="8" s="1"/>
  <c r="T64" i="8" s="1"/>
  <c r="O94" i="8"/>
  <c r="P94" i="8" s="1"/>
  <c r="O41" i="8"/>
  <c r="P41" i="8" s="1"/>
  <c r="O35" i="8"/>
  <c r="P35" i="8" s="1"/>
  <c r="O44" i="8"/>
  <c r="P44" i="8" s="1"/>
  <c r="W44" i="8" s="1"/>
  <c r="O70" i="8"/>
  <c r="P70" i="8" s="1"/>
  <c r="O31" i="8"/>
  <c r="P31" i="8" s="1"/>
  <c r="W31" i="8" s="1"/>
  <c r="O58" i="8"/>
  <c r="P58" i="8" s="1"/>
  <c r="W58" i="8" s="1"/>
  <c r="O22" i="8"/>
  <c r="P22" i="8" s="1"/>
  <c r="O36" i="8"/>
  <c r="P36" i="8" s="1"/>
  <c r="W36" i="8" s="1"/>
  <c r="O43" i="8"/>
  <c r="P43" i="8" s="1"/>
  <c r="Z43" i="8" s="1"/>
  <c r="O57" i="8"/>
  <c r="P57" i="8" s="1"/>
  <c r="T57" i="8" s="1"/>
  <c r="O45" i="8"/>
  <c r="P45" i="8" s="1"/>
  <c r="O95" i="8"/>
  <c r="P95" i="8" s="1"/>
  <c r="Z95" i="8" s="1"/>
  <c r="O69" i="8"/>
  <c r="P69" i="8" s="1"/>
  <c r="W69" i="8" s="1"/>
  <c r="AL69" i="8" s="1"/>
  <c r="O24" i="6"/>
  <c r="P24" i="6" s="1"/>
  <c r="O62" i="6"/>
  <c r="P62" i="6" s="1"/>
  <c r="T62" i="6" s="1"/>
  <c r="O47" i="6"/>
  <c r="P47" i="6" s="1"/>
  <c r="T47" i="6" s="1"/>
  <c r="O74" i="6"/>
  <c r="P74" i="6" s="1"/>
  <c r="T74" i="6" s="1"/>
  <c r="O126" i="6"/>
  <c r="P126" i="6" s="1"/>
  <c r="W126" i="6" s="1"/>
  <c r="O44" i="6"/>
  <c r="P44" i="6" s="1"/>
  <c r="T44" i="6" s="1"/>
  <c r="AK44" i="6" s="1"/>
  <c r="O45" i="6"/>
  <c r="P45" i="6" s="1"/>
  <c r="T45" i="6" s="1"/>
  <c r="O54" i="6"/>
  <c r="P54" i="6" s="1"/>
  <c r="T54" i="6" s="1"/>
  <c r="O50" i="6"/>
  <c r="P50" i="6" s="1"/>
  <c r="T50" i="6" s="1"/>
  <c r="O30" i="6"/>
  <c r="P30" i="6" s="1"/>
  <c r="T30" i="6" s="1"/>
  <c r="O42" i="6"/>
  <c r="P42" i="6" s="1"/>
  <c r="T42" i="6" s="1"/>
  <c r="O70" i="6"/>
  <c r="P70" i="6" s="1"/>
  <c r="T70" i="6" s="1"/>
  <c r="O38" i="6"/>
  <c r="P38" i="6" s="1"/>
  <c r="T38" i="6" s="1"/>
  <c r="O122" i="6"/>
  <c r="P122" i="6" s="1"/>
  <c r="T122" i="6" s="1"/>
  <c r="O41" i="6"/>
  <c r="P41" i="6" s="1"/>
  <c r="T41" i="6" s="1"/>
  <c r="AK41" i="6" s="1"/>
  <c r="O119" i="6"/>
  <c r="P119" i="6" s="1"/>
  <c r="O33" i="6"/>
  <c r="P33" i="6" s="1"/>
  <c r="T33" i="6" s="1"/>
  <c r="AK33" i="6" s="1"/>
  <c r="O60" i="6"/>
  <c r="P60" i="6" s="1"/>
  <c r="T60" i="6" s="1"/>
  <c r="O100" i="6"/>
  <c r="P100" i="6" s="1"/>
  <c r="T100" i="6" s="1"/>
  <c r="O98" i="6"/>
  <c r="P98" i="6" s="1"/>
  <c r="T98" i="6" s="1"/>
  <c r="O114" i="6"/>
  <c r="P114" i="6" s="1"/>
  <c r="T114" i="6" s="1"/>
  <c r="O107" i="6"/>
  <c r="P107" i="6" s="1"/>
  <c r="T107" i="6" s="1"/>
  <c r="O55" i="6"/>
  <c r="P55" i="6" s="1"/>
  <c r="W55" i="6" s="1"/>
  <c r="O28" i="6"/>
  <c r="P28" i="6" s="1"/>
  <c r="T28" i="6" s="1"/>
  <c r="AK28" i="6" s="1"/>
  <c r="O93" i="6"/>
  <c r="P93" i="6" s="1"/>
  <c r="T93" i="6" s="1"/>
  <c r="O71" i="6"/>
  <c r="P71" i="6" s="1"/>
  <c r="T71" i="6" s="1"/>
  <c r="O72" i="6"/>
  <c r="P72" i="6" s="1"/>
  <c r="T72" i="6" s="1"/>
  <c r="O88" i="6"/>
  <c r="P88" i="6" s="1"/>
  <c r="T88" i="6" s="1"/>
  <c r="O39" i="6"/>
  <c r="P39" i="6" s="1"/>
  <c r="T39" i="6" s="1"/>
  <c r="O91" i="6"/>
  <c r="P91" i="6" s="1"/>
  <c r="T91" i="6" s="1"/>
  <c r="AK91" i="6" s="1"/>
  <c r="O97" i="6"/>
  <c r="P97" i="6" s="1"/>
  <c r="T97" i="6" s="1"/>
  <c r="AK97" i="6" s="1"/>
  <c r="O26" i="6"/>
  <c r="P26" i="6" s="1"/>
  <c r="Z26" i="6" s="1"/>
  <c r="O68" i="6"/>
  <c r="P68" i="6" s="1"/>
  <c r="Z68" i="6" s="1"/>
  <c r="O35" i="6"/>
  <c r="P35" i="6" s="1"/>
  <c r="T35" i="6" s="1"/>
  <c r="AK35" i="6" s="1"/>
  <c r="O101" i="6"/>
  <c r="P101" i="6" s="1"/>
  <c r="T101" i="6" s="1"/>
  <c r="O19" i="6"/>
  <c r="P19" i="6" s="1"/>
  <c r="O104" i="6"/>
  <c r="P104" i="6" s="1"/>
  <c r="W104" i="6" s="1"/>
  <c r="O86" i="6"/>
  <c r="P86" i="6" s="1"/>
  <c r="T86" i="6" s="1"/>
  <c r="O123" i="6"/>
  <c r="P123" i="6" s="1"/>
  <c r="T123" i="6" s="1"/>
  <c r="O22" i="6"/>
  <c r="P22" i="6" s="1"/>
  <c r="T22" i="6" s="1"/>
  <c r="O84" i="6"/>
  <c r="P84" i="6" s="1"/>
  <c r="T84" i="6" s="1"/>
  <c r="O58" i="6"/>
  <c r="P58" i="6" s="1"/>
  <c r="T58" i="6" s="1"/>
  <c r="O112" i="6"/>
  <c r="P112" i="6" s="1"/>
  <c r="T112" i="6" s="1"/>
  <c r="AK112" i="6" s="1"/>
  <c r="O121" i="6"/>
  <c r="P121" i="6" s="1"/>
  <c r="T121" i="6" s="1"/>
  <c r="O83" i="6"/>
  <c r="P83" i="6" s="1"/>
  <c r="T83" i="6" s="1"/>
  <c r="AK83" i="6" s="1"/>
  <c r="O27" i="6"/>
  <c r="P27" i="6" s="1"/>
  <c r="T27" i="6" s="1"/>
  <c r="O113" i="6"/>
  <c r="P113" i="6" s="1"/>
  <c r="O32" i="6"/>
  <c r="P32" i="6" s="1"/>
  <c r="T32" i="6" s="1"/>
  <c r="AK32" i="6" s="1"/>
  <c r="O90" i="6"/>
  <c r="P90" i="6" s="1"/>
  <c r="T90" i="6" s="1"/>
  <c r="O49" i="6"/>
  <c r="P49" i="6" s="1"/>
  <c r="T49" i="6" s="1"/>
  <c r="O125" i="6"/>
  <c r="P125" i="6" s="1"/>
  <c r="T125" i="6" s="1"/>
  <c r="O109" i="6"/>
  <c r="P109" i="6" s="1"/>
  <c r="Z109" i="6" s="1"/>
  <c r="O67" i="6"/>
  <c r="P67" i="6" s="1"/>
  <c r="T67" i="6" s="1"/>
  <c r="O66" i="6"/>
  <c r="P66" i="6" s="1"/>
  <c r="T66" i="6" s="1"/>
  <c r="O75" i="6"/>
  <c r="P75" i="6" s="1"/>
  <c r="T75" i="6" s="1"/>
  <c r="AK75" i="6" s="1"/>
  <c r="O56" i="6"/>
  <c r="P56" i="6" s="1"/>
  <c r="T56" i="6" s="1"/>
  <c r="AK56" i="6" s="1"/>
  <c r="O82" i="6"/>
  <c r="P82" i="6" s="1"/>
  <c r="T82" i="6" s="1"/>
  <c r="O117" i="6"/>
  <c r="P117" i="6" s="1"/>
  <c r="Z117" i="6" s="1"/>
  <c r="O77" i="6"/>
  <c r="P77" i="6" s="1"/>
  <c r="T77" i="6" s="1"/>
  <c r="O21" i="6"/>
  <c r="P21" i="6" s="1"/>
  <c r="T21" i="6" s="1"/>
  <c r="O18" i="6"/>
  <c r="P18" i="6" s="1"/>
  <c r="T18" i="6" s="1"/>
  <c r="O87" i="6"/>
  <c r="P87" i="6" s="1"/>
  <c r="T87" i="6" s="1"/>
  <c r="AK87" i="6" s="1"/>
  <c r="AN53" i="8" l="1"/>
  <c r="AO76" i="8"/>
  <c r="AH24" i="8"/>
  <c r="AK20" i="8"/>
  <c r="AK53" i="6"/>
  <c r="T69" i="6"/>
  <c r="AK69" i="6" s="1"/>
  <c r="AI69" i="6"/>
  <c r="AE69" i="6"/>
  <c r="AC69" i="6"/>
  <c r="AN69" i="6" s="1"/>
  <c r="W69" i="6"/>
  <c r="Z69" i="6"/>
  <c r="Y48" i="6"/>
  <c r="AE128" i="6"/>
  <c r="AF16" i="6"/>
  <c r="V47" i="6"/>
  <c r="Y69" i="6"/>
  <c r="AB48" i="6"/>
  <c r="AD69" i="6"/>
  <c r="AI99" i="6"/>
  <c r="AQ99" i="6" s="1"/>
  <c r="AH47" i="6"/>
  <c r="AK47" i="6"/>
  <c r="AI128" i="6"/>
  <c r="AD16" i="6"/>
  <c r="W99" i="6"/>
  <c r="AD48" i="6"/>
  <c r="AH69" i="6"/>
  <c r="V69" i="6"/>
  <c r="AC99" i="6"/>
  <c r="AN99" i="6" s="1"/>
  <c r="AB47" i="6"/>
  <c r="T128" i="6"/>
  <c r="AK128" i="6" s="1"/>
  <c r="Y47" i="6"/>
  <c r="Z128" i="6"/>
  <c r="AC128" i="6"/>
  <c r="AH16" i="6"/>
  <c r="Z99" i="6"/>
  <c r="AM99" i="6" s="1"/>
  <c r="AH48" i="6"/>
  <c r="AF69" i="6"/>
  <c r="AG99" i="6"/>
  <c r="AP99" i="6" s="1"/>
  <c r="AP89" i="6"/>
  <c r="AF47" i="6"/>
  <c r="Y16" i="6"/>
  <c r="AO116" i="6"/>
  <c r="Y32" i="6"/>
  <c r="AH91" i="6"/>
  <c r="Y40" i="6"/>
  <c r="AG69" i="6"/>
  <c r="AP69" i="6" s="1"/>
  <c r="AD119" i="6"/>
  <c r="AF75" i="6"/>
  <c r="AD36" i="6"/>
  <c r="Y119" i="6"/>
  <c r="AD91" i="6"/>
  <c r="AD40" i="6"/>
  <c r="AB119" i="6"/>
  <c r="AB36" i="6"/>
  <c r="V40" i="6"/>
  <c r="Y75" i="6"/>
  <c r="AF91" i="6"/>
  <c r="AB40" i="6"/>
  <c r="AF119" i="6"/>
  <c r="AF36" i="6"/>
  <c r="AN89" i="6"/>
  <c r="AB91" i="6"/>
  <c r="AH40" i="6"/>
  <c r="T116" i="6"/>
  <c r="S72" i="6"/>
  <c r="O85" i="6"/>
  <c r="P85" i="6" s="1"/>
  <c r="T85" i="6" s="1"/>
  <c r="O59" i="6"/>
  <c r="P59" i="6" s="1"/>
  <c r="AG59" i="6" s="1"/>
  <c r="O16" i="6"/>
  <c r="P16" i="6" s="1"/>
  <c r="T16" i="6" s="1"/>
  <c r="AK16" i="6" s="1"/>
  <c r="O36" i="6"/>
  <c r="P36" i="6" s="1"/>
  <c r="T36" i="6" s="1"/>
  <c r="AK36" i="6" s="1"/>
  <c r="O57" i="6"/>
  <c r="P57" i="6" s="1"/>
  <c r="O20" i="6"/>
  <c r="P20" i="6" s="1"/>
  <c r="O81" i="6"/>
  <c r="P81" i="6" s="1"/>
  <c r="T81" i="6" s="1"/>
  <c r="O124" i="6"/>
  <c r="P124" i="6" s="1"/>
  <c r="T124" i="6" s="1"/>
  <c r="O118" i="6"/>
  <c r="P118" i="6" s="1"/>
  <c r="T118" i="6" s="1"/>
  <c r="AK118" i="6" s="1"/>
  <c r="O96" i="6"/>
  <c r="P96" i="6" s="1"/>
  <c r="T96" i="6" s="1"/>
  <c r="AK96" i="6" s="1"/>
  <c r="O52" i="6"/>
  <c r="P52" i="6" s="1"/>
  <c r="O29" i="6"/>
  <c r="P29" i="6" s="1"/>
  <c r="T29" i="6" s="1"/>
  <c r="AK29" i="6" s="1"/>
  <c r="O64" i="6"/>
  <c r="P64" i="6" s="1"/>
  <c r="T64" i="6" s="1"/>
  <c r="AK64" i="6" s="1"/>
  <c r="O80" i="6"/>
  <c r="P80" i="6" s="1"/>
  <c r="Z80" i="6" s="1"/>
  <c r="AM80" i="6" s="1"/>
  <c r="O40" i="6"/>
  <c r="P40" i="6" s="1"/>
  <c r="T40" i="6" s="1"/>
  <c r="AK40" i="6" s="1"/>
  <c r="O115" i="6"/>
  <c r="P115" i="6" s="1"/>
  <c r="O48" i="6"/>
  <c r="P48" i="6" s="1"/>
  <c r="V19" i="6"/>
  <c r="AD19" i="6"/>
  <c r="AL79" i="8"/>
  <c r="Y19" i="6"/>
  <c r="AE57" i="6"/>
  <c r="AO57" i="6" s="1"/>
  <c r="AF19" i="6"/>
  <c r="S84" i="8"/>
  <c r="AQ42" i="8"/>
  <c r="AB84" i="8"/>
  <c r="AN84" i="8" s="1"/>
  <c r="AO46" i="8"/>
  <c r="AH19" i="6"/>
  <c r="AN40" i="8"/>
  <c r="Y84" i="8"/>
  <c r="AM84" i="8" s="1"/>
  <c r="V84" i="8"/>
  <c r="AL84" i="8" s="1"/>
  <c r="Y29" i="8"/>
  <c r="V29" i="8"/>
  <c r="AD29" i="8"/>
  <c r="AO29" i="8" s="1"/>
  <c r="AB83" i="8"/>
  <c r="AN83" i="8" s="1"/>
  <c r="AF115" i="6"/>
  <c r="V102" i="6"/>
  <c r="AB102" i="6"/>
  <c r="AD115" i="6"/>
  <c r="Y102" i="6"/>
  <c r="AH108" i="6"/>
  <c r="AD102" i="6"/>
  <c r="AK27" i="6"/>
  <c r="V115" i="6"/>
  <c r="AH115" i="6"/>
  <c r="AB108" i="6"/>
  <c r="Y115" i="6"/>
  <c r="Y108" i="6"/>
  <c r="AH102" i="6"/>
  <c r="AK102" i="6"/>
  <c r="V108" i="6"/>
  <c r="AB115" i="6"/>
  <c r="AF108" i="6"/>
  <c r="AF102" i="6"/>
  <c r="AK22" i="6"/>
  <c r="AK42" i="6"/>
  <c r="AK38" i="6"/>
  <c r="AH25" i="6"/>
  <c r="AK18" i="6"/>
  <c r="AK74" i="6"/>
  <c r="AN78" i="6"/>
  <c r="AK25" i="6"/>
  <c r="V25" i="6"/>
  <c r="AO69" i="6"/>
  <c r="AB25" i="6"/>
  <c r="AD25" i="6"/>
  <c r="Y25" i="6"/>
  <c r="AM78" i="6"/>
  <c r="AF25" i="6"/>
  <c r="AM105" i="6"/>
  <c r="AM128" i="6"/>
  <c r="AL111" i="6"/>
  <c r="AK88" i="8"/>
  <c r="V83" i="8"/>
  <c r="Y83" i="8"/>
  <c r="AM83" i="8" s="1"/>
  <c r="AH21" i="8"/>
  <c r="AQ21" i="8" s="1"/>
  <c r="S29" i="8"/>
  <c r="AK29" i="8" s="1"/>
  <c r="AF83" i="8"/>
  <c r="AP83" i="8" s="1"/>
  <c r="Y21" i="8"/>
  <c r="AM21" i="8" s="1"/>
  <c r="AH29" i="8"/>
  <c r="AQ29" i="8" s="1"/>
  <c r="AL47" i="8"/>
  <c r="AO86" i="8"/>
  <c r="AF21" i="8"/>
  <c r="AP21" i="8" s="1"/>
  <c r="AO79" i="8"/>
  <c r="AD83" i="8"/>
  <c r="AB29" i="8"/>
  <c r="AN29" i="8" s="1"/>
  <c r="S83" i="8"/>
  <c r="AK83" i="8" s="1"/>
  <c r="AP38" i="8"/>
  <c r="AD21" i="8"/>
  <c r="AO21" i="8" s="1"/>
  <c r="AQ16" i="8"/>
  <c r="AO40" i="8"/>
  <c r="AP25" i="8"/>
  <c r="AQ79" i="8"/>
  <c r="AD16" i="8"/>
  <c r="AO16" i="8" s="1"/>
  <c r="AM80" i="8"/>
  <c r="AN42" i="8"/>
  <c r="AB16" i="8"/>
  <c r="AK53" i="8"/>
  <c r="S87" i="8"/>
  <c r="AK87" i="8" s="1"/>
  <c r="AK86" i="8"/>
  <c r="V16" i="8"/>
  <c r="AL16" i="8" s="1"/>
  <c r="AD24" i="8"/>
  <c r="AB24" i="8"/>
  <c r="AM90" i="8"/>
  <c r="AP76" i="8"/>
  <c r="AF84" i="8"/>
  <c r="AP84" i="8" s="1"/>
  <c r="AO53" i="8"/>
  <c r="AD84" i="8"/>
  <c r="AO84" i="8" s="1"/>
  <c r="AK38" i="8"/>
  <c r="AL86" i="8"/>
  <c r="AN38" i="8"/>
  <c r="AB43" i="8"/>
  <c r="AM53" i="8"/>
  <c r="AO42" i="8"/>
  <c r="AO60" i="8"/>
  <c r="AN21" i="8"/>
  <c r="AN79" i="8"/>
  <c r="AL21" i="8"/>
  <c r="AM87" i="8"/>
  <c r="AQ38" i="8"/>
  <c r="AP53" i="8"/>
  <c r="S43" i="8"/>
  <c r="AH43" i="8"/>
  <c r="V43" i="8"/>
  <c r="AP16" i="8"/>
  <c r="AQ40" i="8"/>
  <c r="AF43" i="8"/>
  <c r="AP29" i="8"/>
  <c r="V87" i="8"/>
  <c r="AL87" i="8" s="1"/>
  <c r="Y43" i="8"/>
  <c r="AM43" i="8" s="1"/>
  <c r="AL40" i="8"/>
  <c r="AO25" i="8"/>
  <c r="AO74" i="8"/>
  <c r="AK77" i="8"/>
  <c r="AK96" i="8"/>
  <c r="AM39" i="8"/>
  <c r="AK50" i="8"/>
  <c r="AK63" i="8"/>
  <c r="AK79" i="8"/>
  <c r="AM96" i="8"/>
  <c r="AK84" i="8"/>
  <c r="AM34" i="8"/>
  <c r="AM16" i="8"/>
  <c r="AO83" i="8"/>
  <c r="AP74" i="8"/>
  <c r="AP79" i="8"/>
  <c r="AP42" i="8"/>
  <c r="AK91" i="8"/>
  <c r="AL83" i="8"/>
  <c r="AQ20" i="8"/>
  <c r="AP86" i="8"/>
  <c r="AL46" i="8"/>
  <c r="AK16" i="8"/>
  <c r="AM38" i="8"/>
  <c r="AK74" i="8"/>
  <c r="AM86" i="8"/>
  <c r="AL39" i="8"/>
  <c r="AN46" i="8"/>
  <c r="AK99" i="6"/>
  <c r="AK78" i="6"/>
  <c r="AK111" i="6"/>
  <c r="AM111" i="6"/>
  <c r="AL78" i="6"/>
  <c r="AM34" i="6"/>
  <c r="AK72" i="6"/>
  <c r="AK122" i="6"/>
  <c r="AQ128" i="6"/>
  <c r="AQ34" i="6"/>
  <c r="AL128" i="6"/>
  <c r="AK89" i="6"/>
  <c r="AL95" i="6"/>
  <c r="AK34" i="6"/>
  <c r="Z113" i="6"/>
  <c r="AM113" i="6" s="1"/>
  <c r="T113" i="6"/>
  <c r="AK113" i="6" s="1"/>
  <c r="W24" i="6"/>
  <c r="AL24" i="6" s="1"/>
  <c r="T24" i="6"/>
  <c r="AK24" i="6" s="1"/>
  <c r="AK81" i="6"/>
  <c r="AL89" i="6"/>
  <c r="AM95" i="6"/>
  <c r="AK88" i="6"/>
  <c r="AK45" i="6"/>
  <c r="T55" i="6"/>
  <c r="AK55" i="6" s="1"/>
  <c r="T68" i="6"/>
  <c r="AK68" i="6" s="1"/>
  <c r="AK66" i="6"/>
  <c r="AK71" i="6"/>
  <c r="AK30" i="6"/>
  <c r="AK86" i="6"/>
  <c r="AK100" i="6"/>
  <c r="AK114" i="6"/>
  <c r="AK50" i="6"/>
  <c r="AK67" i="6"/>
  <c r="AK62" i="6"/>
  <c r="T26" i="6"/>
  <c r="AK26" i="6" s="1"/>
  <c r="AK98" i="6"/>
  <c r="AK54" i="6"/>
  <c r="AK93" i="6"/>
  <c r="AK39" i="6"/>
  <c r="AK21" i="6"/>
  <c r="AK107" i="6"/>
  <c r="AK49" i="6"/>
  <c r="AK70" i="6"/>
  <c r="T126" i="6"/>
  <c r="AK126" i="6" s="1"/>
  <c r="W108" i="6"/>
  <c r="T108" i="6"/>
  <c r="AK108" i="6" s="1"/>
  <c r="AK124" i="6"/>
  <c r="AK85" i="6"/>
  <c r="AP34" i="6"/>
  <c r="T109" i="6"/>
  <c r="AK109" i="6" s="1"/>
  <c r="AK95" i="6"/>
  <c r="AK105" i="6"/>
  <c r="AK131" i="6"/>
  <c r="AK116" i="6"/>
  <c r="T117" i="6"/>
  <c r="AK117" i="6" s="1"/>
  <c r="AK43" i="6"/>
  <c r="AK58" i="6"/>
  <c r="T104" i="6"/>
  <c r="AK104" i="6" s="1"/>
  <c r="Z19" i="6"/>
  <c r="AM19" i="6" s="1"/>
  <c r="T19" i="6"/>
  <c r="AK19" i="6" s="1"/>
  <c r="W119" i="6"/>
  <c r="AL119" i="6" s="1"/>
  <c r="T119" i="6"/>
  <c r="AK119" i="6" s="1"/>
  <c r="AL69" i="6"/>
  <c r="Y59" i="6"/>
  <c r="S59" i="6"/>
  <c r="AM89" i="6"/>
  <c r="AK84" i="6"/>
  <c r="AK82" i="6"/>
  <c r="AK90" i="6"/>
  <c r="AK125" i="6"/>
  <c r="AK60" i="6"/>
  <c r="AK73" i="6"/>
  <c r="AK77" i="6"/>
  <c r="AK123" i="6"/>
  <c r="AK121" i="6"/>
  <c r="AK101" i="6"/>
  <c r="AC45" i="8"/>
  <c r="AN45" i="8" s="1"/>
  <c r="AE45" i="8"/>
  <c r="AO45" i="8" s="1"/>
  <c r="AI45" i="8"/>
  <c r="AQ45" i="8" s="1"/>
  <c r="AG45" i="8"/>
  <c r="AP45" i="8" s="1"/>
  <c r="T45" i="8"/>
  <c r="AK45" i="8" s="1"/>
  <c r="AG22" i="8"/>
  <c r="AP22" i="8" s="1"/>
  <c r="AI22" i="8"/>
  <c r="AQ22" i="8" s="1"/>
  <c r="AC22" i="8"/>
  <c r="AN22" i="8" s="1"/>
  <c r="AE22" i="8"/>
  <c r="AO22" i="8" s="1"/>
  <c r="W22" i="8"/>
  <c r="AL22" i="8" s="1"/>
  <c r="AC70" i="8"/>
  <c r="AN70" i="8" s="1"/>
  <c r="AI70" i="8"/>
  <c r="AQ70" i="8" s="1"/>
  <c r="AE70" i="8"/>
  <c r="AO70" i="8" s="1"/>
  <c r="AG70" i="8"/>
  <c r="AP70" i="8" s="1"/>
  <c r="Z70" i="8"/>
  <c r="AM70" i="8" s="1"/>
  <c r="AE41" i="8"/>
  <c r="AO41" i="8" s="1"/>
  <c r="AI41" i="8"/>
  <c r="AQ41" i="8" s="1"/>
  <c r="AC41" i="8"/>
  <c r="AN41" i="8" s="1"/>
  <c r="AG41" i="8"/>
  <c r="AP41" i="8" s="1"/>
  <c r="AC93" i="8"/>
  <c r="AN93" i="8" s="1"/>
  <c r="AI93" i="8"/>
  <c r="AQ93" i="8" s="1"/>
  <c r="AE93" i="8"/>
  <c r="AO93" i="8" s="1"/>
  <c r="AG93" i="8"/>
  <c r="AP93" i="8" s="1"/>
  <c r="Z93" i="8"/>
  <c r="AM93" i="8" s="1"/>
  <c r="AG72" i="8"/>
  <c r="AP72" i="8" s="1"/>
  <c r="AE72" i="8"/>
  <c r="AO72" i="8" s="1"/>
  <c r="AC72" i="8"/>
  <c r="AN72" i="8" s="1"/>
  <c r="AI72" i="8"/>
  <c r="AQ72" i="8" s="1"/>
  <c r="Z72" i="8"/>
  <c r="AM72" i="8" s="1"/>
  <c r="AG67" i="8"/>
  <c r="AP67" i="8" s="1"/>
  <c r="AE67" i="8"/>
  <c r="AC67" i="8"/>
  <c r="AN67" i="8" s="1"/>
  <c r="AI67" i="8"/>
  <c r="AQ67" i="8" s="1"/>
  <c r="AG17" i="8"/>
  <c r="AP17" i="8" s="1"/>
  <c r="AC17" i="8"/>
  <c r="AE17" i="8"/>
  <c r="AO17" i="8" s="1"/>
  <c r="AI17" i="8"/>
  <c r="AQ17" i="8" s="1"/>
  <c r="T17" i="8"/>
  <c r="AK17" i="8" s="1"/>
  <c r="AG75" i="8"/>
  <c r="AP75" i="8" s="1"/>
  <c r="AC75" i="8"/>
  <c r="AN75" i="8" s="1"/>
  <c r="AI75" i="8"/>
  <c r="AQ75" i="8" s="1"/>
  <c r="AE75" i="8"/>
  <c r="AO75" i="8" s="1"/>
  <c r="T75" i="8"/>
  <c r="AK75" i="8" s="1"/>
  <c r="AG73" i="8"/>
  <c r="AP73" i="8" s="1"/>
  <c r="AE73" i="8"/>
  <c r="AO73" i="8" s="1"/>
  <c r="AC73" i="8"/>
  <c r="AN73" i="8" s="1"/>
  <c r="AI73" i="8"/>
  <c r="AQ73" i="8" s="1"/>
  <c r="Z98" i="8"/>
  <c r="AM98" i="8" s="1"/>
  <c r="T68" i="8"/>
  <c r="AK68" i="8" s="1"/>
  <c r="W89" i="8"/>
  <c r="AL89" i="8" s="1"/>
  <c r="W80" i="8"/>
  <c r="AL80" i="8" s="1"/>
  <c r="T36" i="8"/>
  <c r="AK36" i="8" s="1"/>
  <c r="Z73" i="8"/>
  <c r="AM73" i="8" s="1"/>
  <c r="AQ60" i="8"/>
  <c r="AB81" i="8"/>
  <c r="AH81" i="8"/>
  <c r="AD81" i="8"/>
  <c r="AF81" i="8"/>
  <c r="T54" i="8"/>
  <c r="AK54" i="8" s="1"/>
  <c r="T89" i="8"/>
  <c r="AK89" i="8" s="1"/>
  <c r="AK97" i="8"/>
  <c r="Z88" i="8"/>
  <c r="AM88" i="8" s="1"/>
  <c r="W43" i="8"/>
  <c r="W45" i="8"/>
  <c r="AL68" i="8"/>
  <c r="AL58" i="8"/>
  <c r="W73" i="8"/>
  <c r="AL73" i="8" s="1"/>
  <c r="T93" i="8"/>
  <c r="AK93" i="8" s="1"/>
  <c r="Z31" i="8"/>
  <c r="AM31" i="8" s="1"/>
  <c r="Z67" i="8"/>
  <c r="AM67" i="8" s="1"/>
  <c r="T73" i="8"/>
  <c r="W41" i="8"/>
  <c r="AL41" i="8" s="1"/>
  <c r="AG57" i="8"/>
  <c r="AP57" i="8" s="1"/>
  <c r="AE57" i="8"/>
  <c r="AO57" i="8" s="1"/>
  <c r="AC57" i="8"/>
  <c r="AN57" i="8" s="1"/>
  <c r="AI57" i="8"/>
  <c r="AQ57" i="8" s="1"/>
  <c r="AG32" i="8"/>
  <c r="AP32" i="8" s="1"/>
  <c r="AE32" i="8"/>
  <c r="AO32" i="8" s="1"/>
  <c r="AI32" i="8"/>
  <c r="AC32" i="8"/>
  <c r="AN32" i="8" s="1"/>
  <c r="AG44" i="8"/>
  <c r="AP44" i="8" s="1"/>
  <c r="AI44" i="8"/>
  <c r="AQ44" i="8" s="1"/>
  <c r="AC44" i="8"/>
  <c r="AN44" i="8" s="1"/>
  <c r="AE44" i="8"/>
  <c r="AO44" i="8" s="1"/>
  <c r="T44" i="8"/>
  <c r="AK44" i="8" s="1"/>
  <c r="AE94" i="8"/>
  <c r="AO94" i="8" s="1"/>
  <c r="AG94" i="8"/>
  <c r="AP94" i="8" s="1"/>
  <c r="AC94" i="8"/>
  <c r="AN94" i="8" s="1"/>
  <c r="AI94" i="8"/>
  <c r="AQ94" i="8" s="1"/>
  <c r="W94" i="8"/>
  <c r="AL94" i="8" s="1"/>
  <c r="AE49" i="8"/>
  <c r="AO49" i="8" s="1"/>
  <c r="AC49" i="8"/>
  <c r="AN49" i="8" s="1"/>
  <c r="AG49" i="8"/>
  <c r="AP49" i="8" s="1"/>
  <c r="AI49" i="8"/>
  <c r="AQ49" i="8" s="1"/>
  <c r="W49" i="8"/>
  <c r="AL49" i="8" s="1"/>
  <c r="AG71" i="8"/>
  <c r="AP71" i="8" s="1"/>
  <c r="AE71" i="8"/>
  <c r="AO71" i="8" s="1"/>
  <c r="AC71" i="8"/>
  <c r="AN71" i="8" s="1"/>
  <c r="AI71" i="8"/>
  <c r="AQ71" i="8" s="1"/>
  <c r="Z71" i="8"/>
  <c r="AM71" i="8" s="1"/>
  <c r="AC80" i="8"/>
  <c r="AN80" i="8" s="1"/>
  <c r="AG80" i="8"/>
  <c r="AP80" i="8" s="1"/>
  <c r="AE80" i="8"/>
  <c r="AO80" i="8" s="1"/>
  <c r="AI80" i="8"/>
  <c r="AQ80" i="8" s="1"/>
  <c r="T80" i="8"/>
  <c r="AK80" i="8" s="1"/>
  <c r="AE59" i="8"/>
  <c r="AO59" i="8" s="1"/>
  <c r="AG59" i="8"/>
  <c r="AP59" i="8" s="1"/>
  <c r="AC59" i="8"/>
  <c r="AN59" i="8" s="1"/>
  <c r="AI59" i="8"/>
  <c r="AQ59" i="8" s="1"/>
  <c r="Z59" i="8"/>
  <c r="AM59" i="8" s="1"/>
  <c r="AG28" i="8"/>
  <c r="AP28" i="8" s="1"/>
  <c r="AC28" i="8"/>
  <c r="AN28" i="8" s="1"/>
  <c r="AI28" i="8"/>
  <c r="AQ28" i="8" s="1"/>
  <c r="AE28" i="8"/>
  <c r="AO28" i="8" s="1"/>
  <c r="Z28" i="8"/>
  <c r="AM28" i="8" s="1"/>
  <c r="AG61" i="8"/>
  <c r="AP61" i="8" s="1"/>
  <c r="AC61" i="8"/>
  <c r="AN61" i="8" s="1"/>
  <c r="AI61" i="8"/>
  <c r="AQ61" i="8" s="1"/>
  <c r="AE61" i="8"/>
  <c r="AO61" i="8" s="1"/>
  <c r="Z61" i="8"/>
  <c r="AM61" i="8" s="1"/>
  <c r="AC52" i="8"/>
  <c r="AN52" i="8" s="1"/>
  <c r="AI52" i="8"/>
  <c r="AQ52" i="8" s="1"/>
  <c r="AE52" i="8"/>
  <c r="AO52" i="8" s="1"/>
  <c r="AG52" i="8"/>
  <c r="AP52" i="8" s="1"/>
  <c r="AE19" i="8"/>
  <c r="AO19" i="8" s="1"/>
  <c r="AI19" i="8"/>
  <c r="AQ19" i="8" s="1"/>
  <c r="AC19" i="8"/>
  <c r="AG19" i="8"/>
  <c r="AP19" i="8" s="1"/>
  <c r="AG56" i="8"/>
  <c r="AP56" i="8" s="1"/>
  <c r="AC56" i="8"/>
  <c r="AN56" i="8" s="1"/>
  <c r="AE56" i="8"/>
  <c r="AI56" i="8"/>
  <c r="AQ56" i="8" s="1"/>
  <c r="W56" i="8"/>
  <c r="AL56" i="8" s="1"/>
  <c r="T52" i="8"/>
  <c r="AK52" i="8" s="1"/>
  <c r="AL20" i="8"/>
  <c r="T58" i="8"/>
  <c r="AK58" i="8" s="1"/>
  <c r="T61" i="8"/>
  <c r="AK61" i="8" s="1"/>
  <c r="W70" i="8"/>
  <c r="AL70" i="8" s="1"/>
  <c r="AM26" i="8"/>
  <c r="T94" i="8"/>
  <c r="AK94" i="8" s="1"/>
  <c r="W75" i="8"/>
  <c r="AL75" i="8" s="1"/>
  <c r="AO67" i="8"/>
  <c r="T32" i="8"/>
  <c r="AK32" i="8" s="1"/>
  <c r="AL52" i="8"/>
  <c r="Z24" i="8"/>
  <c r="AM24" i="8" s="1"/>
  <c r="AL36" i="8"/>
  <c r="AM89" i="8"/>
  <c r="Z17" i="8"/>
  <c r="AM17" i="8" s="1"/>
  <c r="Z58" i="8"/>
  <c r="AM58" i="8" s="1"/>
  <c r="AN20" i="8"/>
  <c r="AN25" i="8"/>
  <c r="AP60" i="8"/>
  <c r="T31" i="8"/>
  <c r="AK31" i="8" s="1"/>
  <c r="AI81" i="8"/>
  <c r="AE81" i="8"/>
  <c r="AG81" i="8"/>
  <c r="AC81" i="8"/>
  <c r="AL98" i="8"/>
  <c r="W90" i="8"/>
  <c r="AL90" i="8" s="1"/>
  <c r="Z22" i="8"/>
  <c r="AM22" i="8" s="1"/>
  <c r="W72" i="8"/>
  <c r="AL72" i="8" s="1"/>
  <c r="AK19" i="8"/>
  <c r="Z85" i="8"/>
  <c r="AM85" i="8" s="1"/>
  <c r="AM20" i="8"/>
  <c r="AL60" i="8"/>
  <c r="AL77" i="8"/>
  <c r="Y81" i="8"/>
  <c r="W55" i="8"/>
  <c r="AL55" i="8" s="1"/>
  <c r="AM54" i="8"/>
  <c r="AL44" i="8"/>
  <c r="Z32" i="8"/>
  <c r="AM32" i="8" s="1"/>
  <c r="AI87" i="8"/>
  <c r="AC87" i="8"/>
  <c r="AE87" i="8"/>
  <c r="AG87" i="8"/>
  <c r="S81" i="8"/>
  <c r="W28" i="8"/>
  <c r="AL28" i="8" s="1"/>
  <c r="Z41" i="8"/>
  <c r="AM41" i="8" s="1"/>
  <c r="T70" i="8"/>
  <c r="AK70" i="8" s="1"/>
  <c r="Z94" i="8"/>
  <c r="AM94" i="8" s="1"/>
  <c r="Z75" i="8"/>
  <c r="AM75" i="8" s="1"/>
  <c r="T71" i="8"/>
  <c r="AK71" i="8" s="1"/>
  <c r="T28" i="8"/>
  <c r="AK28" i="8" s="1"/>
  <c r="AN16" i="8"/>
  <c r="AQ83" i="8"/>
  <c r="AL85" i="8"/>
  <c r="T22" i="8"/>
  <c r="AK22" i="8" s="1"/>
  <c r="AI69" i="8"/>
  <c r="AQ69" i="8" s="1"/>
  <c r="AE69" i="8"/>
  <c r="AO69" i="8" s="1"/>
  <c r="AG69" i="8"/>
  <c r="AP69" i="8" s="1"/>
  <c r="AC69" i="8"/>
  <c r="AN69" i="8" s="1"/>
  <c r="AI43" i="8"/>
  <c r="AE43" i="8"/>
  <c r="AO43" i="8" s="1"/>
  <c r="AG43" i="8"/>
  <c r="AC43" i="8"/>
  <c r="AI58" i="8"/>
  <c r="AQ58" i="8" s="1"/>
  <c r="AE58" i="8"/>
  <c r="AO58" i="8" s="1"/>
  <c r="AG58" i="8"/>
  <c r="AP58" i="8" s="1"/>
  <c r="AC58" i="8"/>
  <c r="AN58" i="8" s="1"/>
  <c r="AC35" i="8"/>
  <c r="AN35" i="8" s="1"/>
  <c r="AE35" i="8"/>
  <c r="AO35" i="8" s="1"/>
  <c r="AG35" i="8"/>
  <c r="AP35" i="8" s="1"/>
  <c r="AI35" i="8"/>
  <c r="AQ35" i="8" s="1"/>
  <c r="AI64" i="8"/>
  <c r="AQ64" i="8" s="1"/>
  <c r="AE64" i="8"/>
  <c r="AO64" i="8" s="1"/>
  <c r="AG64" i="8"/>
  <c r="AP64" i="8" s="1"/>
  <c r="AC64" i="8"/>
  <c r="AN64" i="8" s="1"/>
  <c r="W64" i="8"/>
  <c r="AL64" i="8" s="1"/>
  <c r="AE98" i="8"/>
  <c r="AO98" i="8" s="1"/>
  <c r="AG98" i="8"/>
  <c r="AP98" i="8" s="1"/>
  <c r="AC98" i="8"/>
  <c r="AN98" i="8" s="1"/>
  <c r="AI98" i="8"/>
  <c r="AQ98" i="8" s="1"/>
  <c r="T98" i="8"/>
  <c r="AK98" i="8" s="1"/>
  <c r="AE47" i="8"/>
  <c r="AO47" i="8" s="1"/>
  <c r="AI47" i="8"/>
  <c r="AQ47" i="8" s="1"/>
  <c r="AG47" i="8"/>
  <c r="AP47" i="8" s="1"/>
  <c r="AC47" i="8"/>
  <c r="AN47" i="8" s="1"/>
  <c r="T47" i="8"/>
  <c r="AK47" i="8" s="1"/>
  <c r="AG62" i="8"/>
  <c r="AP62" i="8" s="1"/>
  <c r="AE62" i="8"/>
  <c r="AO62" i="8" s="1"/>
  <c r="AC62" i="8"/>
  <c r="AN62" i="8" s="1"/>
  <c r="AI62" i="8"/>
  <c r="AQ62" i="8" s="1"/>
  <c r="T62" i="8"/>
  <c r="AK62" i="8" s="1"/>
  <c r="AI97" i="8"/>
  <c r="AQ97" i="8" s="1"/>
  <c r="AE97" i="8"/>
  <c r="AO97" i="8" s="1"/>
  <c r="AC97" i="8"/>
  <c r="AN97" i="8" s="1"/>
  <c r="AG97" i="8"/>
  <c r="AP97" i="8" s="1"/>
  <c r="Z97" i="8"/>
  <c r="AM97" i="8" s="1"/>
  <c r="AE88" i="8"/>
  <c r="AO88" i="8" s="1"/>
  <c r="AI88" i="8"/>
  <c r="AQ88" i="8" s="1"/>
  <c r="AG88" i="8"/>
  <c r="AP88" i="8" s="1"/>
  <c r="AC88" i="8"/>
  <c r="AN88" i="8" s="1"/>
  <c r="AE27" i="8"/>
  <c r="AO27" i="8" s="1"/>
  <c r="AI27" i="8"/>
  <c r="AQ27" i="8" s="1"/>
  <c r="AC27" i="8"/>
  <c r="AN27" i="8" s="1"/>
  <c r="AG27" i="8"/>
  <c r="AP27" i="8" s="1"/>
  <c r="AM25" i="8"/>
  <c r="AL29" i="8"/>
  <c r="V81" i="8"/>
  <c r="AL81" i="8" s="1"/>
  <c r="W67" i="8"/>
  <c r="AL67" i="8" s="1"/>
  <c r="W35" i="8"/>
  <c r="AL35" i="8" s="1"/>
  <c r="Z27" i="8"/>
  <c r="AM27" i="8" s="1"/>
  <c r="T72" i="8"/>
  <c r="AK72" i="8" s="1"/>
  <c r="W71" i="8"/>
  <c r="AL71" i="8" s="1"/>
  <c r="T49" i="8"/>
  <c r="AK49" i="8" s="1"/>
  <c r="AM46" i="8"/>
  <c r="T43" i="8"/>
  <c r="Z44" i="8"/>
  <c r="AM44" i="8" s="1"/>
  <c r="AK34" i="8"/>
  <c r="AP20" i="8"/>
  <c r="W32" i="8"/>
  <c r="AL32" i="8" s="1"/>
  <c r="AL25" i="8"/>
  <c r="AM29" i="8"/>
  <c r="T67" i="8"/>
  <c r="AK67" i="8" s="1"/>
  <c r="AL26" i="8"/>
  <c r="Z45" i="8"/>
  <c r="AM45" i="8" s="1"/>
  <c r="T35" i="8"/>
  <c r="AK35" i="8" s="1"/>
  <c r="Z47" i="8"/>
  <c r="AM47" i="8" s="1"/>
  <c r="Z64" i="8"/>
  <c r="AM64" i="8" s="1"/>
  <c r="AQ86" i="8"/>
  <c r="AQ84" i="8"/>
  <c r="AN76" i="8"/>
  <c r="AO56" i="8"/>
  <c r="Z81" i="8"/>
  <c r="AK25" i="8"/>
  <c r="AD87" i="8"/>
  <c r="AF87" i="8"/>
  <c r="AB87" i="8"/>
  <c r="AH87" i="8"/>
  <c r="T81" i="8"/>
  <c r="AM79" i="8"/>
  <c r="AK40" i="8"/>
  <c r="AK76" i="8"/>
  <c r="AL91" i="8"/>
  <c r="T41" i="8"/>
  <c r="AK41" i="8" s="1"/>
  <c r="AK60" i="8"/>
  <c r="AN74" i="8"/>
  <c r="W88" i="8"/>
  <c r="AL88" i="8" s="1"/>
  <c r="AK64" i="8"/>
  <c r="AL76" i="8"/>
  <c r="AQ46" i="8"/>
  <c r="AI95" i="8"/>
  <c r="AQ95" i="8" s="1"/>
  <c r="AC95" i="8"/>
  <c r="AN95" i="8" s="1"/>
  <c r="AE95" i="8"/>
  <c r="AO95" i="8" s="1"/>
  <c r="AG95" i="8"/>
  <c r="AP95" i="8" s="1"/>
  <c r="T95" i="8"/>
  <c r="AK95" i="8" s="1"/>
  <c r="AG36" i="8"/>
  <c r="AP36" i="8" s="1"/>
  <c r="AI36" i="8"/>
  <c r="AQ36" i="8" s="1"/>
  <c r="AC36" i="8"/>
  <c r="AN36" i="8" s="1"/>
  <c r="AE36" i="8"/>
  <c r="AO36" i="8" s="1"/>
  <c r="Z36" i="8"/>
  <c r="AM36" i="8" s="1"/>
  <c r="AE31" i="8"/>
  <c r="AO31" i="8" s="1"/>
  <c r="AI31" i="8"/>
  <c r="AQ31" i="8" s="1"/>
  <c r="AC31" i="8"/>
  <c r="AN31" i="8" s="1"/>
  <c r="AG31" i="8"/>
  <c r="AP31" i="8" s="1"/>
  <c r="AI55" i="8"/>
  <c r="AQ55" i="8" s="1"/>
  <c r="AE55" i="8"/>
  <c r="AO55" i="8" s="1"/>
  <c r="AC55" i="8"/>
  <c r="AN55" i="8" s="1"/>
  <c r="AG55" i="8"/>
  <c r="AP55" i="8" s="1"/>
  <c r="T55" i="8"/>
  <c r="AK55" i="8" s="1"/>
  <c r="AI30" i="8"/>
  <c r="AQ30" i="8" s="1"/>
  <c r="AE30" i="8"/>
  <c r="AO30" i="8" s="1"/>
  <c r="AG30" i="8"/>
  <c r="AP30" i="8" s="1"/>
  <c r="AC30" i="8"/>
  <c r="AN30" i="8" s="1"/>
  <c r="Z30" i="8"/>
  <c r="AM30" i="8" s="1"/>
  <c r="AI85" i="8"/>
  <c r="AQ85" i="8" s="1"/>
  <c r="AE85" i="8"/>
  <c r="AO85" i="8" s="1"/>
  <c r="AC85" i="8"/>
  <c r="AN85" i="8" s="1"/>
  <c r="AG85" i="8"/>
  <c r="AP85" i="8" s="1"/>
  <c r="T85" i="8"/>
  <c r="AK85" i="8" s="1"/>
  <c r="AE89" i="8"/>
  <c r="AO89" i="8" s="1"/>
  <c r="AG89" i="8"/>
  <c r="AP89" i="8" s="1"/>
  <c r="AC89" i="8"/>
  <c r="AN89" i="8" s="1"/>
  <c r="AI89" i="8"/>
  <c r="AQ89" i="8" s="1"/>
  <c r="AE90" i="8"/>
  <c r="AO90" i="8" s="1"/>
  <c r="AG90" i="8"/>
  <c r="AP90" i="8" s="1"/>
  <c r="AI90" i="8"/>
  <c r="AQ90" i="8" s="1"/>
  <c r="AC90" i="8"/>
  <c r="AN90" i="8" s="1"/>
  <c r="T90" i="8"/>
  <c r="AK90" i="8" s="1"/>
  <c r="AE54" i="8"/>
  <c r="AO54" i="8" s="1"/>
  <c r="AG54" i="8"/>
  <c r="AP54" i="8" s="1"/>
  <c r="AC54" i="8"/>
  <c r="AN54" i="8" s="1"/>
  <c r="AI54" i="8"/>
  <c r="AQ54" i="8" s="1"/>
  <c r="W54" i="8"/>
  <c r="AL54" i="8" s="1"/>
  <c r="AE68" i="8"/>
  <c r="AO68" i="8" s="1"/>
  <c r="AG68" i="8"/>
  <c r="AP68" i="8" s="1"/>
  <c r="AI68" i="8"/>
  <c r="AQ68" i="8" s="1"/>
  <c r="AC68" i="8"/>
  <c r="AN68" i="8" s="1"/>
  <c r="AI24" i="8"/>
  <c r="AQ24" i="8" s="1"/>
  <c r="AE24" i="8"/>
  <c r="AO24" i="8" s="1"/>
  <c r="AG24" i="8"/>
  <c r="AP24" i="8" s="1"/>
  <c r="AC24" i="8"/>
  <c r="W24" i="8"/>
  <c r="AL24" i="8" s="1"/>
  <c r="AL31" i="8"/>
  <c r="AK24" i="8"/>
  <c r="T69" i="8"/>
  <c r="AK69" i="8" s="1"/>
  <c r="W95" i="8"/>
  <c r="AL95" i="8" s="1"/>
  <c r="AL53" i="8"/>
  <c r="Z56" i="8"/>
  <c r="AM56" i="8" s="1"/>
  <c r="AL50" i="8"/>
  <c r="T59" i="8"/>
  <c r="AK59" i="8" s="1"/>
  <c r="W93" i="8"/>
  <c r="AL93" i="8" s="1"/>
  <c r="AK39" i="8"/>
  <c r="T27" i="8"/>
  <c r="AK27" i="8" s="1"/>
  <c r="Z57" i="8"/>
  <c r="AM57" i="8" s="1"/>
  <c r="AK26" i="8"/>
  <c r="AQ76" i="8"/>
  <c r="AP40" i="8"/>
  <c r="AQ53" i="8"/>
  <c r="AN17" i="8"/>
  <c r="Z69" i="8"/>
  <c r="AM69" i="8" s="1"/>
  <c r="AM42" i="8"/>
  <c r="AM62" i="8"/>
  <c r="W61" i="8"/>
  <c r="AL61" i="8" s="1"/>
  <c r="W19" i="8"/>
  <c r="AL19" i="8" s="1"/>
  <c r="AO20" i="8"/>
  <c r="AN60" i="8"/>
  <c r="AN19" i="8"/>
  <c r="AK21" i="8"/>
  <c r="Z52" i="8"/>
  <c r="AM52" i="8" s="1"/>
  <c r="W62" i="8"/>
  <c r="AL62" i="8" s="1"/>
  <c r="AM50" i="8"/>
  <c r="AK46" i="8"/>
  <c r="W57" i="8"/>
  <c r="AL57" i="8" s="1"/>
  <c r="AK42" i="8"/>
  <c r="Z68" i="8"/>
  <c r="AM68" i="8" s="1"/>
  <c r="W97" i="8"/>
  <c r="AL97" i="8" s="1"/>
  <c r="AN86" i="8"/>
  <c r="Z19" i="8"/>
  <c r="AM19" i="8" s="1"/>
  <c r="Z35" i="8"/>
  <c r="AM35" i="8" s="1"/>
  <c r="W59" i="8"/>
  <c r="AL59" i="8" s="1"/>
  <c r="AM55" i="8"/>
  <c r="AL45" i="8"/>
  <c r="AM63" i="8"/>
  <c r="W17" i="8"/>
  <c r="AL17" i="8" s="1"/>
  <c r="AM49" i="8"/>
  <c r="W27" i="8"/>
  <c r="AL27" i="8" s="1"/>
  <c r="AL38" i="8"/>
  <c r="T56" i="8"/>
  <c r="AK56" i="8" s="1"/>
  <c r="AL42" i="8"/>
  <c r="AQ74" i="8"/>
  <c r="AQ32" i="8"/>
  <c r="AM95" i="8"/>
  <c r="AM74" i="8"/>
  <c r="AK57" i="8"/>
  <c r="AK73" i="8"/>
  <c r="AK30" i="8"/>
  <c r="W30" i="8"/>
  <c r="AL30" i="8" s="1"/>
  <c r="AP46" i="8"/>
  <c r="AG66" i="6"/>
  <c r="AP66" i="6" s="1"/>
  <c r="AE66" i="6"/>
  <c r="AO66" i="6" s="1"/>
  <c r="AC66" i="6"/>
  <c r="AI66" i="6"/>
  <c r="AE49" i="6"/>
  <c r="AO49" i="6" s="1"/>
  <c r="AG49" i="6"/>
  <c r="AP49" i="6" s="1"/>
  <c r="AC49" i="6"/>
  <c r="AI49" i="6"/>
  <c r="AQ49" i="6" s="1"/>
  <c r="Z49" i="6"/>
  <c r="AM49" i="6" s="1"/>
  <c r="W49" i="6"/>
  <c r="AL49" i="6" s="1"/>
  <c r="AI121" i="6"/>
  <c r="AQ121" i="6" s="1"/>
  <c r="AE121" i="6"/>
  <c r="AO121" i="6" s="1"/>
  <c r="AG121" i="6"/>
  <c r="AP121" i="6" s="1"/>
  <c r="AC121" i="6"/>
  <c r="AN121" i="6" s="1"/>
  <c r="W121" i="6"/>
  <c r="Z121" i="6"/>
  <c r="AM121" i="6" s="1"/>
  <c r="AE58" i="6"/>
  <c r="AO58" i="6" s="1"/>
  <c r="AG58" i="6"/>
  <c r="AC58" i="6"/>
  <c r="AI58" i="6"/>
  <c r="AQ58" i="6" s="1"/>
  <c r="Z58" i="6"/>
  <c r="AM58" i="6" s="1"/>
  <c r="AI123" i="6"/>
  <c r="AE123" i="6"/>
  <c r="AC123" i="6"/>
  <c r="AN123" i="6" s="1"/>
  <c r="AG123" i="6"/>
  <c r="AP123" i="6" s="1"/>
  <c r="Z123" i="6"/>
  <c r="AM123" i="6" s="1"/>
  <c r="AI25" i="6"/>
  <c r="AQ25" i="6" s="1"/>
  <c r="AE25" i="6"/>
  <c r="AG25" i="6"/>
  <c r="AC25" i="6"/>
  <c r="AG107" i="6"/>
  <c r="AP107" i="6" s="1"/>
  <c r="AC107" i="6"/>
  <c r="AE107" i="6"/>
  <c r="AI107" i="6"/>
  <c r="AQ107" i="6" s="1"/>
  <c r="W107" i="6"/>
  <c r="AL107" i="6" s="1"/>
  <c r="AC96" i="6"/>
  <c r="AN96" i="6" s="1"/>
  <c r="AI100" i="6"/>
  <c r="AQ100" i="6" s="1"/>
  <c r="AG100" i="6"/>
  <c r="AP100" i="6" s="1"/>
  <c r="AC100" i="6"/>
  <c r="AN100" i="6" s="1"/>
  <c r="AE100" i="6"/>
  <c r="AO100" i="6" s="1"/>
  <c r="W100" i="6"/>
  <c r="AL100" i="6" s="1"/>
  <c r="AC102" i="6"/>
  <c r="AI102" i="6"/>
  <c r="AQ102" i="6" s="1"/>
  <c r="AE102" i="6"/>
  <c r="AG102" i="6"/>
  <c r="W102" i="6"/>
  <c r="AL102" i="6" s="1"/>
  <c r="AE54" i="6"/>
  <c r="AO54" i="6" s="1"/>
  <c r="AI54" i="6"/>
  <c r="AQ54" i="6" s="1"/>
  <c r="AG54" i="6"/>
  <c r="AP54" i="6" s="1"/>
  <c r="AC54" i="6"/>
  <c r="AG103" i="6"/>
  <c r="AP103" i="6" s="1"/>
  <c r="AI103" i="6"/>
  <c r="AE103" i="6"/>
  <c r="AO103" i="6" s="1"/>
  <c r="AC103" i="6"/>
  <c r="AN103" i="6" s="1"/>
  <c r="AE21" i="6"/>
  <c r="AO21" i="6" s="1"/>
  <c r="AC21" i="6"/>
  <c r="AN21" i="6" s="1"/>
  <c r="AI21" i="6"/>
  <c r="AQ21" i="6" s="1"/>
  <c r="AG21" i="6"/>
  <c r="AP21" i="6" s="1"/>
  <c r="Z21" i="6"/>
  <c r="AM21" i="6" s="1"/>
  <c r="W21" i="6"/>
  <c r="AL21" i="6" s="1"/>
  <c r="AG82" i="6"/>
  <c r="AE82" i="6"/>
  <c r="AO82" i="6" s="1"/>
  <c r="AC82" i="6"/>
  <c r="AN82" i="6" s="1"/>
  <c r="AI82" i="6"/>
  <c r="AQ82" i="6" s="1"/>
  <c r="Z82" i="6"/>
  <c r="AM82" i="6" s="1"/>
  <c r="W82" i="6"/>
  <c r="AL82" i="6" s="1"/>
  <c r="AE67" i="6"/>
  <c r="AG67" i="6"/>
  <c r="AP67" i="6" s="1"/>
  <c r="AI67" i="6"/>
  <c r="AQ67" i="6" s="1"/>
  <c r="AC67" i="6"/>
  <c r="AN67" i="6" s="1"/>
  <c r="AI90" i="6"/>
  <c r="AQ90" i="6" s="1"/>
  <c r="AG90" i="6"/>
  <c r="AP90" i="6" s="1"/>
  <c r="AC90" i="6"/>
  <c r="AN90" i="6" s="1"/>
  <c r="AE90" i="6"/>
  <c r="AO90" i="6" s="1"/>
  <c r="Z90" i="6"/>
  <c r="AM90" i="6" s="1"/>
  <c r="AI27" i="6"/>
  <c r="AQ27" i="6" s="1"/>
  <c r="AC27" i="6"/>
  <c r="AN27" i="6" s="1"/>
  <c r="AG27" i="6"/>
  <c r="AE27" i="6"/>
  <c r="AO27" i="6" s="1"/>
  <c r="W27" i="6"/>
  <c r="AL27" i="6" s="1"/>
  <c r="Z27" i="6"/>
  <c r="AM27" i="6" s="1"/>
  <c r="AI112" i="6"/>
  <c r="AQ112" i="6" s="1"/>
  <c r="AE112" i="6"/>
  <c r="AO112" i="6" s="1"/>
  <c r="AG112" i="6"/>
  <c r="AP112" i="6" s="1"/>
  <c r="AC112" i="6"/>
  <c r="AN112" i="6" s="1"/>
  <c r="Z112" i="6"/>
  <c r="AM112" i="6" s="1"/>
  <c r="AI84" i="6"/>
  <c r="AQ84" i="6" s="1"/>
  <c r="AG84" i="6"/>
  <c r="AP84" i="6" s="1"/>
  <c r="AC84" i="6"/>
  <c r="AE84" i="6"/>
  <c r="W84" i="6"/>
  <c r="AL84" i="6" s="1"/>
  <c r="AE86" i="6"/>
  <c r="AO86" i="6" s="1"/>
  <c r="AI86" i="6"/>
  <c r="AQ86" i="6" s="1"/>
  <c r="AG86" i="6"/>
  <c r="AP86" i="6" s="1"/>
  <c r="AC86" i="6"/>
  <c r="AN86" i="6" s="1"/>
  <c r="W86" i="6"/>
  <c r="AL86" i="6" s="1"/>
  <c r="AG35" i="6"/>
  <c r="AP35" i="6" s="1"/>
  <c r="AI35" i="6"/>
  <c r="AE35" i="6"/>
  <c r="AO35" i="6" s="1"/>
  <c r="AC35" i="6"/>
  <c r="AN35" i="6" s="1"/>
  <c r="Z35" i="6"/>
  <c r="AM35" i="6" s="1"/>
  <c r="W35" i="6"/>
  <c r="AL35" i="6" s="1"/>
  <c r="AC97" i="6"/>
  <c r="AN97" i="6" s="1"/>
  <c r="AG97" i="6"/>
  <c r="AP97" i="6" s="1"/>
  <c r="AI97" i="6"/>
  <c r="AQ97" i="6" s="1"/>
  <c r="AE97" i="6"/>
  <c r="AO97" i="6" s="1"/>
  <c r="AG88" i="6"/>
  <c r="AP88" i="6" s="1"/>
  <c r="AI88" i="6"/>
  <c r="AQ88" i="6" s="1"/>
  <c r="AE88" i="6"/>
  <c r="AO88" i="6" s="1"/>
  <c r="AC88" i="6"/>
  <c r="AN88" i="6" s="1"/>
  <c r="W88" i="6"/>
  <c r="AL88" i="6" s="1"/>
  <c r="AI71" i="6"/>
  <c r="AQ71" i="6" s="1"/>
  <c r="AE71" i="6"/>
  <c r="AO71" i="6" s="1"/>
  <c r="AG71" i="6"/>
  <c r="AP71" i="6" s="1"/>
  <c r="AC71" i="6"/>
  <c r="AN71" i="6" s="1"/>
  <c r="W71" i="6"/>
  <c r="AL71" i="6" s="1"/>
  <c r="Z71" i="6"/>
  <c r="AM71" i="6" s="1"/>
  <c r="AG28" i="6"/>
  <c r="AP28" i="6" s="1"/>
  <c r="AC28" i="6"/>
  <c r="AN28" i="6" s="1"/>
  <c r="AI28" i="6"/>
  <c r="AQ28" i="6" s="1"/>
  <c r="AE28" i="6"/>
  <c r="AI114" i="6"/>
  <c r="AC114" i="6"/>
  <c r="AN114" i="6" s="1"/>
  <c r="AG114" i="6"/>
  <c r="AP114" i="6" s="1"/>
  <c r="AE114" i="6"/>
  <c r="Z114" i="6"/>
  <c r="AM114" i="6" s="1"/>
  <c r="W114" i="6"/>
  <c r="AC36" i="6"/>
  <c r="AN36" i="6" s="1"/>
  <c r="W36" i="6"/>
  <c r="AL36" i="6" s="1"/>
  <c r="AE60" i="6"/>
  <c r="AO60" i="6" s="1"/>
  <c r="AI60" i="6"/>
  <c r="AQ60" i="6" s="1"/>
  <c r="AG60" i="6"/>
  <c r="AP60" i="6" s="1"/>
  <c r="AC60" i="6"/>
  <c r="AN60" i="6" s="1"/>
  <c r="Z60" i="6"/>
  <c r="AM60" i="6" s="1"/>
  <c r="W60" i="6"/>
  <c r="AL60" i="6" s="1"/>
  <c r="AI53" i="6"/>
  <c r="AQ53" i="6" s="1"/>
  <c r="AE53" i="6"/>
  <c r="AO53" i="6" s="1"/>
  <c r="AC53" i="6"/>
  <c r="AG53" i="6"/>
  <c r="AP53" i="6" s="1"/>
  <c r="Z53" i="6"/>
  <c r="AM53" i="6" s="1"/>
  <c r="AE63" i="6"/>
  <c r="AO63" i="6" s="1"/>
  <c r="AG63" i="6"/>
  <c r="AC63" i="6"/>
  <c r="AI63" i="6"/>
  <c r="AQ63" i="6" s="1"/>
  <c r="W63" i="6"/>
  <c r="AL63" i="6" s="1"/>
  <c r="Z63" i="6"/>
  <c r="AE42" i="6"/>
  <c r="AO42" i="6" s="1"/>
  <c r="AI42" i="6"/>
  <c r="AQ42" i="6" s="1"/>
  <c r="AC42" i="6"/>
  <c r="AN42" i="6" s="1"/>
  <c r="AG42" i="6"/>
  <c r="Z42" i="6"/>
  <c r="AM42" i="6" s="1"/>
  <c r="AC74" i="6"/>
  <c r="AN74" i="6" s="1"/>
  <c r="AE74" i="6"/>
  <c r="AO74" i="6" s="1"/>
  <c r="AI74" i="6"/>
  <c r="AG74" i="6"/>
  <c r="AP74" i="6" s="1"/>
  <c r="Z74" i="6"/>
  <c r="AM74" i="6" s="1"/>
  <c r="W74" i="6"/>
  <c r="AL74" i="6" s="1"/>
  <c r="AF29" i="6"/>
  <c r="AB29" i="6"/>
  <c r="AD29" i="6"/>
  <c r="AH29" i="6"/>
  <c r="V29" i="6"/>
  <c r="Z66" i="6"/>
  <c r="AM66" i="6" s="1"/>
  <c r="AM117" i="6"/>
  <c r="Z55" i="6"/>
  <c r="AM55" i="6" s="1"/>
  <c r="Z28" i="6"/>
  <c r="AM28" i="6" s="1"/>
  <c r="AL105" i="6"/>
  <c r="AM43" i="6"/>
  <c r="W68" i="6"/>
  <c r="AL68" i="6" s="1"/>
  <c r="AM116" i="6"/>
  <c r="AL43" i="6"/>
  <c r="W97" i="6"/>
  <c r="AL97" i="6" s="1"/>
  <c r="Y29" i="6"/>
  <c r="W66" i="6"/>
  <c r="AL66" i="6" s="1"/>
  <c r="W117" i="6"/>
  <c r="AL117" i="6" s="1"/>
  <c r="W90" i="6"/>
  <c r="AL90" i="6" s="1"/>
  <c r="W28" i="6"/>
  <c r="AL28" i="6" s="1"/>
  <c r="AH85" i="6"/>
  <c r="AB85" i="6"/>
  <c r="AF85" i="6"/>
  <c r="AD85" i="6"/>
  <c r="Y85" i="6"/>
  <c r="V85" i="6"/>
  <c r="Z67" i="6"/>
  <c r="AM67" i="6" s="1"/>
  <c r="Z100" i="6"/>
  <c r="AM100" i="6" s="1"/>
  <c r="AE77" i="6"/>
  <c r="AO77" i="6" s="1"/>
  <c r="AC77" i="6"/>
  <c r="AN77" i="6" s="1"/>
  <c r="AG77" i="6"/>
  <c r="AI77" i="6"/>
  <c r="AQ77" i="6" s="1"/>
  <c r="AG56" i="6"/>
  <c r="AP56" i="6" s="1"/>
  <c r="AE56" i="6"/>
  <c r="AO56" i="6" s="1"/>
  <c r="AI56" i="6"/>
  <c r="AQ56" i="6" s="1"/>
  <c r="AC56" i="6"/>
  <c r="AN56" i="6" s="1"/>
  <c r="W56" i="6"/>
  <c r="AL56" i="6" s="1"/>
  <c r="Z56" i="6"/>
  <c r="AM56" i="6" s="1"/>
  <c r="AE109" i="6"/>
  <c r="AO109" i="6" s="1"/>
  <c r="AC109" i="6"/>
  <c r="AN109" i="6" s="1"/>
  <c r="AG109" i="6"/>
  <c r="AP109" i="6" s="1"/>
  <c r="AI109" i="6"/>
  <c r="AQ109" i="6" s="1"/>
  <c r="W109" i="6"/>
  <c r="AL109" i="6" s="1"/>
  <c r="AC83" i="6"/>
  <c r="AN83" i="6" s="1"/>
  <c r="AG83" i="6"/>
  <c r="AE83" i="6"/>
  <c r="AO83" i="6" s="1"/>
  <c r="AI83" i="6"/>
  <c r="AQ83" i="6" s="1"/>
  <c r="Z83" i="6"/>
  <c r="AM83" i="6" s="1"/>
  <c r="W83" i="6"/>
  <c r="AL83" i="6" s="1"/>
  <c r="AE80" i="6"/>
  <c r="AO80" i="6" s="1"/>
  <c r="AC104" i="6"/>
  <c r="AG104" i="6"/>
  <c r="AP104" i="6" s="1"/>
  <c r="AI104" i="6"/>
  <c r="AQ104" i="6" s="1"/>
  <c r="AE104" i="6"/>
  <c r="Z104" i="6"/>
  <c r="AM104" i="6" s="1"/>
  <c r="AE68" i="6"/>
  <c r="AO68" i="6" s="1"/>
  <c r="AG68" i="6"/>
  <c r="AP68" i="6" s="1"/>
  <c r="AC68" i="6"/>
  <c r="AI68" i="6"/>
  <c r="AQ68" i="6" s="1"/>
  <c r="AC91" i="6"/>
  <c r="AN91" i="6" s="1"/>
  <c r="AI91" i="6"/>
  <c r="AQ91" i="6" s="1"/>
  <c r="AE91" i="6"/>
  <c r="AG91" i="6"/>
  <c r="W91" i="6"/>
  <c r="AL91" i="6" s="1"/>
  <c r="AG108" i="6"/>
  <c r="AC108" i="6"/>
  <c r="AI108" i="6"/>
  <c r="AE108" i="6"/>
  <c r="AO108" i="6" s="1"/>
  <c r="Z108" i="6"/>
  <c r="AE64" i="6"/>
  <c r="AC64" i="6"/>
  <c r="AN64" i="6" s="1"/>
  <c r="AG64" i="6"/>
  <c r="AP64" i="6" s="1"/>
  <c r="AI64" i="6"/>
  <c r="AQ64" i="6" s="1"/>
  <c r="Z64" i="6"/>
  <c r="AM64" i="6" s="1"/>
  <c r="W64" i="6"/>
  <c r="AL64" i="6" s="1"/>
  <c r="AC33" i="6"/>
  <c r="AN33" i="6" s="1"/>
  <c r="AE33" i="6"/>
  <c r="AO33" i="6" s="1"/>
  <c r="AI33" i="6"/>
  <c r="AQ33" i="6" s="1"/>
  <c r="AG33" i="6"/>
  <c r="AP33" i="6" s="1"/>
  <c r="AI41" i="6"/>
  <c r="AQ41" i="6" s="1"/>
  <c r="AC41" i="6"/>
  <c r="AN41" i="6" s="1"/>
  <c r="AG41" i="6"/>
  <c r="AE41" i="6"/>
  <c r="AO41" i="6" s="1"/>
  <c r="W41" i="6"/>
  <c r="AL41" i="6" s="1"/>
  <c r="Z41" i="6"/>
  <c r="AM41" i="6" s="1"/>
  <c r="AE38" i="6"/>
  <c r="AO38" i="6" s="1"/>
  <c r="AI38" i="6"/>
  <c r="AQ38" i="6" s="1"/>
  <c r="AC38" i="6"/>
  <c r="AN38" i="6" s="1"/>
  <c r="AG38" i="6"/>
  <c r="AP38" i="6" s="1"/>
  <c r="Z38" i="6"/>
  <c r="W38" i="6"/>
  <c r="AL38" i="6" s="1"/>
  <c r="AI30" i="6"/>
  <c r="AQ30" i="6" s="1"/>
  <c r="AC30" i="6"/>
  <c r="AN30" i="6" s="1"/>
  <c r="AG30" i="6"/>
  <c r="AP30" i="6" s="1"/>
  <c r="AE30" i="6"/>
  <c r="AO30" i="6" s="1"/>
  <c r="Z30" i="6"/>
  <c r="AM30" i="6" s="1"/>
  <c r="W30" i="6"/>
  <c r="AL30" i="6" s="1"/>
  <c r="AG45" i="6"/>
  <c r="AC45" i="6"/>
  <c r="AN45" i="6" s="1"/>
  <c r="AE45" i="6"/>
  <c r="AO45" i="6" s="1"/>
  <c r="AI45" i="6"/>
  <c r="AQ45" i="6" s="1"/>
  <c r="W45" i="6"/>
  <c r="Z45" i="6"/>
  <c r="AM45" i="6" s="1"/>
  <c r="AC47" i="6"/>
  <c r="AN47" i="6" s="1"/>
  <c r="AE47" i="6"/>
  <c r="AO47" i="6" s="1"/>
  <c r="AI47" i="6"/>
  <c r="AQ47" i="6" s="1"/>
  <c r="AG47" i="6"/>
  <c r="AP47" i="6" s="1"/>
  <c r="Z84" i="6"/>
  <c r="AM84" i="6" s="1"/>
  <c r="W54" i="6"/>
  <c r="AL54" i="6" s="1"/>
  <c r="Z54" i="6"/>
  <c r="AM54" i="6" s="1"/>
  <c r="AL55" i="6"/>
  <c r="Z88" i="6"/>
  <c r="AM88" i="6" s="1"/>
  <c r="AM26" i="6"/>
  <c r="AI85" i="6"/>
  <c r="AC85" i="6"/>
  <c r="AE85" i="6"/>
  <c r="AG85" i="6"/>
  <c r="W85" i="6"/>
  <c r="Z85" i="6"/>
  <c r="Z77" i="6"/>
  <c r="AM77" i="6" s="1"/>
  <c r="AE87" i="6"/>
  <c r="AG87" i="6"/>
  <c r="AC87" i="6"/>
  <c r="AN87" i="6" s="1"/>
  <c r="AI87" i="6"/>
  <c r="AQ87" i="6" s="1"/>
  <c r="W87" i="6"/>
  <c r="AL87" i="6" s="1"/>
  <c r="Z87" i="6"/>
  <c r="AM87" i="6" s="1"/>
  <c r="AI117" i="6"/>
  <c r="AQ117" i="6" s="1"/>
  <c r="AE117" i="6"/>
  <c r="AO117" i="6" s="1"/>
  <c r="AG117" i="6"/>
  <c r="AP117" i="6" s="1"/>
  <c r="AC117" i="6"/>
  <c r="AN117" i="6" s="1"/>
  <c r="AC75" i="6"/>
  <c r="AN75" i="6" s="1"/>
  <c r="AI75" i="6"/>
  <c r="AQ75" i="6" s="1"/>
  <c r="AE75" i="6"/>
  <c r="AO75" i="6" s="1"/>
  <c r="AG75" i="6"/>
  <c r="AP75" i="6" s="1"/>
  <c r="Z75" i="6"/>
  <c r="AM75" i="6" s="1"/>
  <c r="W75" i="6"/>
  <c r="AL75" i="6" s="1"/>
  <c r="AC125" i="6"/>
  <c r="AN125" i="6" s="1"/>
  <c r="AG125" i="6"/>
  <c r="AI125" i="6"/>
  <c r="AQ125" i="6" s="1"/>
  <c r="AE125" i="6"/>
  <c r="AO125" i="6" s="1"/>
  <c r="Z125" i="6"/>
  <c r="AM125" i="6" s="1"/>
  <c r="W125" i="6"/>
  <c r="AI32" i="6"/>
  <c r="AQ32" i="6" s="1"/>
  <c r="AC32" i="6"/>
  <c r="AN32" i="6" s="1"/>
  <c r="AG32" i="6"/>
  <c r="AP32" i="6" s="1"/>
  <c r="AE32" i="6"/>
  <c r="AO32" i="6" s="1"/>
  <c r="Z32" i="6"/>
  <c r="AI118" i="6"/>
  <c r="AQ118" i="6" s="1"/>
  <c r="AE118" i="6"/>
  <c r="AO118" i="6" s="1"/>
  <c r="AG118" i="6"/>
  <c r="AP118" i="6" s="1"/>
  <c r="AC118" i="6"/>
  <c r="AN118" i="6" s="1"/>
  <c r="W118" i="6"/>
  <c r="AL118" i="6" s="1"/>
  <c r="Z118" i="6"/>
  <c r="AC22" i="6"/>
  <c r="AN22" i="6" s="1"/>
  <c r="AI22" i="6"/>
  <c r="AQ22" i="6" s="1"/>
  <c r="AG22" i="6"/>
  <c r="AP22" i="6" s="1"/>
  <c r="AE22" i="6"/>
  <c r="AO22" i="6" s="1"/>
  <c r="AE19" i="6"/>
  <c r="AC19" i="6"/>
  <c r="AN19" i="6" s="1"/>
  <c r="AI19" i="6"/>
  <c r="AG19" i="6"/>
  <c r="W19" i="6"/>
  <c r="AL19" i="6" s="1"/>
  <c r="AG26" i="6"/>
  <c r="AP26" i="6" s="1"/>
  <c r="AC26" i="6"/>
  <c r="AN26" i="6" s="1"/>
  <c r="AI26" i="6"/>
  <c r="AQ26" i="6" s="1"/>
  <c r="AE26" i="6"/>
  <c r="AO26" i="6" s="1"/>
  <c r="W26" i="6"/>
  <c r="AL26" i="6" s="1"/>
  <c r="AI39" i="6"/>
  <c r="AQ39" i="6" s="1"/>
  <c r="AG39" i="6"/>
  <c r="AP39" i="6" s="1"/>
  <c r="AE39" i="6"/>
  <c r="AO39" i="6" s="1"/>
  <c r="AC39" i="6"/>
  <c r="AN39" i="6" s="1"/>
  <c r="Z39" i="6"/>
  <c r="AM39" i="6" s="1"/>
  <c r="W39" i="6"/>
  <c r="AL39" i="6" s="1"/>
  <c r="AI72" i="6"/>
  <c r="AQ72" i="6" s="1"/>
  <c r="AE72" i="6"/>
  <c r="AO72" i="6" s="1"/>
  <c r="AC72" i="6"/>
  <c r="AN72" i="6" s="1"/>
  <c r="AG72" i="6"/>
  <c r="AP72" i="6" s="1"/>
  <c r="Z72" i="6"/>
  <c r="AM72" i="6" s="1"/>
  <c r="AI55" i="6"/>
  <c r="AQ55" i="6" s="1"/>
  <c r="AE55" i="6"/>
  <c r="AO55" i="6" s="1"/>
  <c r="AG55" i="6"/>
  <c r="AP55" i="6" s="1"/>
  <c r="AC55" i="6"/>
  <c r="AN55" i="6" s="1"/>
  <c r="AG98" i="6"/>
  <c r="AP98" i="6" s="1"/>
  <c r="AE98" i="6"/>
  <c r="AO98" i="6" s="1"/>
  <c r="AC98" i="6"/>
  <c r="AI98" i="6"/>
  <c r="AQ98" i="6" s="1"/>
  <c r="W98" i="6"/>
  <c r="AL98" i="6" s="1"/>
  <c r="AC16" i="6"/>
  <c r="AN16" i="6" s="1"/>
  <c r="AI16" i="6"/>
  <c r="AQ16" i="6" s="1"/>
  <c r="AG16" i="6"/>
  <c r="AP16" i="6" s="1"/>
  <c r="AE16" i="6"/>
  <c r="Z16" i="6"/>
  <c r="AM16" i="6" s="1"/>
  <c r="AC119" i="6"/>
  <c r="AN119" i="6" s="1"/>
  <c r="AI119" i="6"/>
  <c r="AQ119" i="6" s="1"/>
  <c r="AE119" i="6"/>
  <c r="AG119" i="6"/>
  <c r="Z119" i="6"/>
  <c r="AM119" i="6" s="1"/>
  <c r="AI122" i="6"/>
  <c r="AQ122" i="6" s="1"/>
  <c r="AE122" i="6"/>
  <c r="AO122" i="6" s="1"/>
  <c r="AG122" i="6"/>
  <c r="AC122" i="6"/>
  <c r="AN122" i="6" s="1"/>
  <c r="W122" i="6"/>
  <c r="AL122" i="6" s="1"/>
  <c r="Z122" i="6"/>
  <c r="AM122" i="6" s="1"/>
  <c r="AC40" i="6"/>
  <c r="AN40" i="6" s="1"/>
  <c r="AG40" i="6"/>
  <c r="AE40" i="6"/>
  <c r="AO40" i="6" s="1"/>
  <c r="AI40" i="6"/>
  <c r="Z40" i="6"/>
  <c r="AM40" i="6" s="1"/>
  <c r="W40" i="6"/>
  <c r="AE50" i="6"/>
  <c r="AO50" i="6" s="1"/>
  <c r="AC50" i="6"/>
  <c r="AN50" i="6" s="1"/>
  <c r="AG50" i="6"/>
  <c r="AP50" i="6" s="1"/>
  <c r="AI50" i="6"/>
  <c r="AQ50" i="6" s="1"/>
  <c r="Z50" i="6"/>
  <c r="AM50" i="6" s="1"/>
  <c r="W50" i="6"/>
  <c r="AL50" i="6" s="1"/>
  <c r="AG44" i="6"/>
  <c r="AP44" i="6" s="1"/>
  <c r="AI44" i="6"/>
  <c r="AQ44" i="6" s="1"/>
  <c r="AE44" i="6"/>
  <c r="AO44" i="6" s="1"/>
  <c r="AC44" i="6"/>
  <c r="AN44" i="6" s="1"/>
  <c r="Z44" i="6"/>
  <c r="AM44" i="6" s="1"/>
  <c r="W44" i="6"/>
  <c r="AL44" i="6" s="1"/>
  <c r="AI62" i="6"/>
  <c r="AQ62" i="6" s="1"/>
  <c r="AG62" i="6"/>
  <c r="AP62" i="6" s="1"/>
  <c r="AC62" i="6"/>
  <c r="AN62" i="6" s="1"/>
  <c r="AE62" i="6"/>
  <c r="AO62" i="6" s="1"/>
  <c r="Z62" i="6"/>
  <c r="AM62" i="6" s="1"/>
  <c r="AG131" i="6"/>
  <c r="AP131" i="6" s="1"/>
  <c r="AC131" i="6"/>
  <c r="AN131" i="6" s="1"/>
  <c r="AI131" i="6"/>
  <c r="AQ131" i="6" s="1"/>
  <c r="AE131" i="6"/>
  <c r="AO131" i="6" s="1"/>
  <c r="Z131" i="6"/>
  <c r="AM131" i="6" s="1"/>
  <c r="Z97" i="6"/>
  <c r="AM97" i="6" s="1"/>
  <c r="W16" i="6"/>
  <c r="AL16" i="6" s="1"/>
  <c r="W112" i="6"/>
  <c r="AL112" i="6" s="1"/>
  <c r="AL126" i="6"/>
  <c r="W62" i="6"/>
  <c r="AL62" i="6" s="1"/>
  <c r="W53" i="6"/>
  <c r="AL53" i="6" s="1"/>
  <c r="Z103" i="6"/>
  <c r="AM103" i="6" s="1"/>
  <c r="Z25" i="6"/>
  <c r="W32" i="6"/>
  <c r="AL32" i="6" s="1"/>
  <c r="AL116" i="6"/>
  <c r="W123" i="6"/>
  <c r="AL123" i="6" s="1"/>
  <c r="AP42" i="6"/>
  <c r="AQ123" i="6"/>
  <c r="W58" i="6"/>
  <c r="AL58" i="6" s="1"/>
  <c r="W72" i="6"/>
  <c r="AL72" i="6" s="1"/>
  <c r="AE18" i="6"/>
  <c r="AO18" i="6" s="1"/>
  <c r="AC18" i="6"/>
  <c r="AN18" i="6" s="1"/>
  <c r="AI18" i="6"/>
  <c r="AQ18" i="6" s="1"/>
  <c r="AG18" i="6"/>
  <c r="AP18" i="6" s="1"/>
  <c r="Z18" i="6"/>
  <c r="AM18" i="6" s="1"/>
  <c r="W18" i="6"/>
  <c r="AC113" i="6"/>
  <c r="AN113" i="6" s="1"/>
  <c r="AI113" i="6"/>
  <c r="AQ113" i="6" s="1"/>
  <c r="AE113" i="6"/>
  <c r="AO113" i="6" s="1"/>
  <c r="AG113" i="6"/>
  <c r="AP113" i="6" s="1"/>
  <c r="W113" i="6"/>
  <c r="AL113" i="6" s="1"/>
  <c r="AE101" i="6"/>
  <c r="AO101" i="6" s="1"/>
  <c r="AI101" i="6"/>
  <c r="AQ101" i="6" s="1"/>
  <c r="AC101" i="6"/>
  <c r="AN101" i="6" s="1"/>
  <c r="AG101" i="6"/>
  <c r="AP101" i="6" s="1"/>
  <c r="W101" i="6"/>
  <c r="AL101" i="6" s="1"/>
  <c r="Z101" i="6"/>
  <c r="AM101" i="6" s="1"/>
  <c r="AC93" i="6"/>
  <c r="AN93" i="6" s="1"/>
  <c r="AG93" i="6"/>
  <c r="AP93" i="6" s="1"/>
  <c r="AE93" i="6"/>
  <c r="AO93" i="6" s="1"/>
  <c r="AI93" i="6"/>
  <c r="AQ93" i="6" s="1"/>
  <c r="W93" i="6"/>
  <c r="AL93" i="6" s="1"/>
  <c r="Z93" i="6"/>
  <c r="AM93" i="6" s="1"/>
  <c r="AE70" i="6"/>
  <c r="AO70" i="6" s="1"/>
  <c r="AC70" i="6"/>
  <c r="AN70" i="6" s="1"/>
  <c r="AI70" i="6"/>
  <c r="AQ70" i="6" s="1"/>
  <c r="AG70" i="6"/>
  <c r="AP70" i="6" s="1"/>
  <c r="Z70" i="6"/>
  <c r="AM70" i="6" s="1"/>
  <c r="W70" i="6"/>
  <c r="AL70" i="6" s="1"/>
  <c r="AI126" i="6"/>
  <c r="AQ126" i="6" s="1"/>
  <c r="AE126" i="6"/>
  <c r="AO126" i="6" s="1"/>
  <c r="AG126" i="6"/>
  <c r="AP126" i="6" s="1"/>
  <c r="AC126" i="6"/>
  <c r="AN126" i="6" s="1"/>
  <c r="Z126" i="6"/>
  <c r="AM126" i="6" s="1"/>
  <c r="AI24" i="6"/>
  <c r="AQ24" i="6" s="1"/>
  <c r="AG24" i="6"/>
  <c r="AP24" i="6" s="1"/>
  <c r="AC24" i="6"/>
  <c r="AN24" i="6" s="1"/>
  <c r="AE24" i="6"/>
  <c r="AO24" i="6" s="1"/>
  <c r="Z24" i="6"/>
  <c r="AM24" i="6" s="1"/>
  <c r="AG127" i="6"/>
  <c r="AP127" i="6" s="1"/>
  <c r="AC127" i="6"/>
  <c r="AN127" i="6" s="1"/>
  <c r="AI127" i="6"/>
  <c r="AQ127" i="6" s="1"/>
  <c r="AE127" i="6"/>
  <c r="AO127" i="6" s="1"/>
  <c r="W127" i="6"/>
  <c r="AL127" i="6" s="1"/>
  <c r="Z127" i="6"/>
  <c r="AM127" i="6" s="1"/>
  <c r="Z47" i="6"/>
  <c r="AC29" i="6"/>
  <c r="Z29" i="6"/>
  <c r="AL104" i="6"/>
  <c r="W42" i="6"/>
  <c r="AL42" i="6" s="1"/>
  <c r="Z91" i="6"/>
  <c r="AM91" i="6" s="1"/>
  <c r="W96" i="6"/>
  <c r="AL96" i="6" s="1"/>
  <c r="Z98" i="6"/>
  <c r="AM98" i="6" s="1"/>
  <c r="Z33" i="6"/>
  <c r="AM33" i="6" s="1"/>
  <c r="Z22" i="6"/>
  <c r="AM22" i="6" s="1"/>
  <c r="Z107" i="6"/>
  <c r="AM107" i="6" s="1"/>
  <c r="Z86" i="6"/>
  <c r="AM86" i="6" s="1"/>
  <c r="AM68" i="6"/>
  <c r="W47" i="6"/>
  <c r="W33" i="6"/>
  <c r="AL33" i="6" s="1"/>
  <c r="W22" i="6"/>
  <c r="AL22" i="6" s="1"/>
  <c r="W103" i="6"/>
  <c r="AL103" i="6" s="1"/>
  <c r="W25" i="6"/>
  <c r="W77" i="6"/>
  <c r="AL77" i="6" s="1"/>
  <c r="W131" i="6"/>
  <c r="AL131" i="6" s="1"/>
  <c r="W67" i="6"/>
  <c r="AL67" i="6" s="1"/>
  <c r="Z102" i="6"/>
  <c r="AE81" i="6"/>
  <c r="AC81" i="6"/>
  <c r="AG81" i="6"/>
  <c r="AI81" i="6"/>
  <c r="W81" i="6"/>
  <c r="Z81" i="6"/>
  <c r="AH124" i="6"/>
  <c r="AD124" i="6"/>
  <c r="AF124" i="6"/>
  <c r="AB124" i="6"/>
  <c r="V124" i="6"/>
  <c r="Y124" i="6"/>
  <c r="AM109" i="6"/>
  <c r="AO34" i="6"/>
  <c r="AL73" i="6"/>
  <c r="AM73" i="6"/>
  <c r="AO123" i="6"/>
  <c r="AN49" i="6"/>
  <c r="AN68" i="6"/>
  <c r="AL99" i="6"/>
  <c r="AL34" i="6"/>
  <c r="AH81" i="6"/>
  <c r="AF81" i="6"/>
  <c r="AD81" i="6"/>
  <c r="AB81" i="6"/>
  <c r="AC124" i="6"/>
  <c r="AP63" i="6"/>
  <c r="AP82" i="6"/>
  <c r="AO84" i="6"/>
  <c r="Y81" i="6"/>
  <c r="AM38" i="6"/>
  <c r="AP111" i="6"/>
  <c r="AQ78" i="6"/>
  <c r="AN66" i="6"/>
  <c r="AO67" i="6"/>
  <c r="V81" i="6"/>
  <c r="AN73" i="6"/>
  <c r="AP91" i="6"/>
  <c r="AP87" i="6"/>
  <c r="AP58" i="6"/>
  <c r="AP45" i="6"/>
  <c r="AN34" i="6"/>
  <c r="AN53" i="6"/>
  <c r="AN63" i="6"/>
  <c r="AO107" i="6"/>
  <c r="AP108" i="6"/>
  <c r="AO111" i="6"/>
  <c r="AO104" i="6"/>
  <c r="AL114" i="6"/>
  <c r="AL125" i="6"/>
  <c r="AN128" i="6"/>
  <c r="AP73" i="6"/>
  <c r="AO114" i="6"/>
  <c r="AN107" i="6"/>
  <c r="AN84" i="6"/>
  <c r="AN54" i="6"/>
  <c r="AL121" i="6"/>
  <c r="AL45" i="6"/>
  <c r="AI59" i="6"/>
  <c r="AC59" i="6"/>
  <c r="AQ111" i="6"/>
  <c r="AO28" i="6"/>
  <c r="AN104" i="6"/>
  <c r="AQ35" i="6"/>
  <c r="AP128" i="6"/>
  <c r="AO73" i="6"/>
  <c r="AP83" i="6"/>
  <c r="AP122" i="6"/>
  <c r="AP77" i="6"/>
  <c r="AP40" i="6"/>
  <c r="AQ114" i="6"/>
  <c r="AP125" i="6"/>
  <c r="AP41" i="6"/>
  <c r="AQ74" i="6"/>
  <c r="AM63" i="6"/>
  <c r="AH59" i="6"/>
  <c r="AD59" i="6"/>
  <c r="AF59" i="6"/>
  <c r="AB59" i="6"/>
  <c r="AN111" i="6"/>
  <c r="AQ69" i="6"/>
  <c r="AQ66" i="6"/>
  <c r="AQ19" i="6"/>
  <c r="AM118" i="6"/>
  <c r="AL18" i="6"/>
  <c r="AO128" i="6"/>
  <c r="AP27" i="6"/>
  <c r="AQ103" i="6"/>
  <c r="AO87" i="6"/>
  <c r="AN58" i="6"/>
  <c r="AN98" i="6"/>
  <c r="AO64" i="6"/>
  <c r="AN24" i="8" l="1"/>
  <c r="AP102" i="6"/>
  <c r="AL40" i="6"/>
  <c r="AM69" i="6"/>
  <c r="AQ40" i="6"/>
  <c r="AO119" i="6"/>
  <c r="AO16" i="6"/>
  <c r="AM32" i="6"/>
  <c r="AG80" i="6"/>
  <c r="AP80" i="6" s="1"/>
  <c r="AI96" i="6"/>
  <c r="AQ96" i="6" s="1"/>
  <c r="AN25" i="6"/>
  <c r="Z59" i="6"/>
  <c r="AM59" i="6" s="1"/>
  <c r="AE59" i="6"/>
  <c r="AL47" i="6"/>
  <c r="AI80" i="6"/>
  <c r="AQ80" i="6" s="1"/>
  <c r="Z96" i="6"/>
  <c r="AM96" i="6" s="1"/>
  <c r="AG96" i="6"/>
  <c r="AP96" i="6" s="1"/>
  <c r="AM47" i="6"/>
  <c r="AP119" i="6"/>
  <c r="W80" i="6"/>
  <c r="AL80" i="6" s="1"/>
  <c r="AO91" i="6"/>
  <c r="AC80" i="6"/>
  <c r="AN80" i="6" s="1"/>
  <c r="AE96" i="6"/>
  <c r="AO96" i="6" s="1"/>
  <c r="T80" i="6"/>
  <c r="AK80" i="6" s="1"/>
  <c r="AM108" i="6"/>
  <c r="Z124" i="6"/>
  <c r="AM124" i="6" s="1"/>
  <c r="AG124" i="6"/>
  <c r="AP124" i="6" s="1"/>
  <c r="W29" i="6"/>
  <c r="AL29" i="6" s="1"/>
  <c r="AE29" i="6"/>
  <c r="AE36" i="6"/>
  <c r="AO36" i="6" s="1"/>
  <c r="AG29" i="6"/>
  <c r="AP29" i="6" s="1"/>
  <c r="AI36" i="6"/>
  <c r="AQ36" i="6" s="1"/>
  <c r="W124" i="6"/>
  <c r="AI124" i="6"/>
  <c r="AE124" i="6"/>
  <c r="AO124" i="6" s="1"/>
  <c r="AM102" i="6"/>
  <c r="AL25" i="6"/>
  <c r="AI29" i="6"/>
  <c r="AQ29" i="6" s="1"/>
  <c r="Z36" i="6"/>
  <c r="AM36" i="6" s="1"/>
  <c r="AG36" i="6"/>
  <c r="AP36" i="6" s="1"/>
  <c r="AL108" i="6"/>
  <c r="W57" i="6"/>
  <c r="AL57" i="6" s="1"/>
  <c r="AN108" i="6"/>
  <c r="AN102" i="6"/>
  <c r="AO19" i="6"/>
  <c r="AP25" i="6"/>
  <c r="AP19" i="6"/>
  <c r="AI57" i="6"/>
  <c r="AQ57" i="6" s="1"/>
  <c r="AC57" i="6"/>
  <c r="AN57" i="6" s="1"/>
  <c r="T59" i="6"/>
  <c r="AK59" i="6" s="1"/>
  <c r="W59" i="6"/>
  <c r="AL59" i="6" s="1"/>
  <c r="T115" i="6"/>
  <c r="AK115" i="6" s="1"/>
  <c r="Z115" i="6"/>
  <c r="AM115" i="6" s="1"/>
  <c r="AG115" i="6"/>
  <c r="AP115" i="6" s="1"/>
  <c r="AC115" i="6"/>
  <c r="AN115" i="6" s="1"/>
  <c r="AI115" i="6"/>
  <c r="AQ115" i="6" s="1"/>
  <c r="AE115" i="6"/>
  <c r="AO115" i="6" s="1"/>
  <c r="W115" i="6"/>
  <c r="AL115" i="6" s="1"/>
  <c r="T52" i="6"/>
  <c r="AK52" i="6" s="1"/>
  <c r="Z52" i="6"/>
  <c r="AM52" i="6" s="1"/>
  <c r="AG52" i="6"/>
  <c r="AP52" i="6" s="1"/>
  <c r="W52" i="6"/>
  <c r="AL52" i="6" s="1"/>
  <c r="AC52" i="6"/>
  <c r="AN52" i="6" s="1"/>
  <c r="AI52" i="6"/>
  <c r="AQ52" i="6" s="1"/>
  <c r="AE52" i="6"/>
  <c r="AO52" i="6" s="1"/>
  <c r="T48" i="6"/>
  <c r="AK48" i="6" s="1"/>
  <c r="AE48" i="6"/>
  <c r="AO48" i="6" s="1"/>
  <c r="AG48" i="6"/>
  <c r="AP48" i="6" s="1"/>
  <c r="Z48" i="6"/>
  <c r="AM48" i="6" s="1"/>
  <c r="AC48" i="6"/>
  <c r="AN48" i="6" s="1"/>
  <c r="W48" i="6"/>
  <c r="AL48" i="6" s="1"/>
  <c r="AI48" i="6"/>
  <c r="AQ48" i="6" s="1"/>
  <c r="T20" i="6"/>
  <c r="AK20" i="6" s="1"/>
  <c r="AG20" i="6"/>
  <c r="AP20" i="6" s="1"/>
  <c r="AC20" i="6"/>
  <c r="AN20" i="6" s="1"/>
  <c r="W20" i="6"/>
  <c r="AL20" i="6" s="1"/>
  <c r="AI20" i="6"/>
  <c r="AQ20" i="6" s="1"/>
  <c r="Z20" i="6"/>
  <c r="AM20" i="6" s="1"/>
  <c r="AE20" i="6"/>
  <c r="AO20" i="6" s="1"/>
  <c r="T57" i="6"/>
  <c r="AK57" i="6" s="1"/>
  <c r="Z57" i="6"/>
  <c r="AM57" i="6" s="1"/>
  <c r="AG57" i="6"/>
  <c r="AP57" i="6" s="1"/>
  <c r="AO25" i="6"/>
  <c r="AO102" i="6"/>
  <c r="AK43" i="8"/>
  <c r="AQ108" i="6"/>
  <c r="AM25" i="6"/>
  <c r="AO29" i="6"/>
  <c r="AP81" i="6"/>
  <c r="AQ59" i="6"/>
  <c r="AN59" i="6"/>
  <c r="AO81" i="6"/>
  <c r="AL81" i="6"/>
  <c r="AQ81" i="6"/>
  <c r="AN43" i="8"/>
  <c r="AL43" i="8"/>
  <c r="AQ87" i="8"/>
  <c r="AP43" i="8"/>
  <c r="AP87" i="8"/>
  <c r="AQ43" i="8"/>
  <c r="AN81" i="8"/>
  <c r="AP59" i="6"/>
  <c r="AM81" i="6"/>
  <c r="AO59" i="6"/>
  <c r="AN124" i="6"/>
  <c r="AK81" i="8"/>
  <c r="AQ81" i="8"/>
  <c r="AM81" i="8"/>
  <c r="AP81" i="8"/>
  <c r="AO87" i="8"/>
  <c r="AN87" i="8"/>
  <c r="AO81" i="8"/>
  <c r="AL124" i="6"/>
  <c r="AQ85" i="6"/>
  <c r="AN29" i="6"/>
  <c r="AO85" i="6"/>
  <c r="AL85" i="6"/>
  <c r="AP85" i="6"/>
  <c r="AM29" i="6"/>
  <c r="AQ124" i="6"/>
  <c r="AN81" i="6"/>
  <c r="AM85" i="6"/>
  <c r="AN85" i="6"/>
</calcChain>
</file>

<file path=xl/sharedStrings.xml><?xml version="1.0" encoding="utf-8"?>
<sst xmlns="http://schemas.openxmlformats.org/spreadsheetml/2006/main" count="219" uniqueCount="98">
  <si>
    <t>N</t>
  </si>
  <si>
    <t>sqrt(N)</t>
  </si>
  <si>
    <t>df</t>
  </si>
  <si>
    <t>BF+</t>
  </si>
  <si>
    <t>logBF+</t>
  </si>
  <si>
    <t>BF-</t>
  </si>
  <si>
    <t>logBF-</t>
  </si>
  <si>
    <t>WlogBF.2+</t>
  </si>
  <si>
    <t>WlogBF.2-</t>
  </si>
  <si>
    <t>Vel.2</t>
  </si>
  <si>
    <t>WlogBF.4+</t>
  </si>
  <si>
    <t>WlogBF.4-</t>
  </si>
  <si>
    <t>Vel.4</t>
  </si>
  <si>
    <t>WlogBF.8+</t>
  </si>
  <si>
    <t>WlogBF.8-</t>
  </si>
  <si>
    <t>Vel.8</t>
  </si>
  <si>
    <t>WlogBF0+</t>
  </si>
  <si>
    <t>WlogBF0-</t>
  </si>
  <si>
    <t>Vel0</t>
  </si>
  <si>
    <t>WlogBF0ab.01+</t>
  </si>
  <si>
    <t>WlogBF0ab.01-</t>
  </si>
  <si>
    <t>Vel0ab.01</t>
  </si>
  <si>
    <t>WlogBF0ab.05+</t>
  </si>
  <si>
    <t>WlogBF0ab.05-</t>
  </si>
  <si>
    <t>Vel0ab.05</t>
  </si>
  <si>
    <t>WlogBF0ab.1+</t>
  </si>
  <si>
    <t>WlogBF0ab.1-</t>
  </si>
  <si>
    <t>Vel0ab.1</t>
  </si>
  <si>
    <t>power.2</t>
  </si>
  <si>
    <t>power.4</t>
  </si>
  <si>
    <t>power.8</t>
  </si>
  <si>
    <t>d = 0.8</t>
  </si>
  <si>
    <t>d = 0.4</t>
  </si>
  <si>
    <t>d = 0.2</t>
  </si>
  <si>
    <t>d = 0, bias 0.1</t>
  </si>
  <si>
    <t>d = 0, bias 0.05</t>
  </si>
  <si>
    <t>d = 0, no bias</t>
  </si>
  <si>
    <t>Author: Robert Kelly, ORCID 0000-0002-1783-498X</t>
  </si>
  <si>
    <t>Email: rek2005@med.cornell.edu; robert.kelly@med.lu.se</t>
  </si>
  <si>
    <t>Briefly, null hypothesis significance testing is performed using a one-tailed t-test on paired samples to determine if a statistically significant increase has occurred.</t>
  </si>
  <si>
    <t>The data are considered normally distributed with standard deviation of 1 and mean 0; and their mean differences t-distributed.</t>
  </si>
  <si>
    <t>Number of participants per sample</t>
  </si>
  <si>
    <t>α</t>
  </si>
  <si>
    <t>Degrees of freedom for t-test</t>
  </si>
  <si>
    <t>k</t>
  </si>
  <si>
    <t>The Bayesian factor for a positive outcome = (1-β)/α</t>
  </si>
  <si>
    <t>log10(BF+)</t>
  </si>
  <si>
    <t>The Bayesian factor for a negative outcome = β/(1-α)</t>
  </si>
  <si>
    <t>log10(BF-)</t>
  </si>
  <si>
    <t>Date: April 8, 2026</t>
  </si>
  <si>
    <t>Using the binary Hypothesis Race Model, mean confirmation velocities are calculated as a function of α-level for various sample sizes, estimated effect sizes, and actual effect sizes.</t>
  </si>
  <si>
    <t>Key for column values</t>
  </si>
  <si>
    <t>Also considered are the effects of allowing for a small bias that has not been accounted for in the estimated alpha level.</t>
  </si>
  <si>
    <t>power.d.2</t>
  </si>
  <si>
    <t>power.d.4</t>
  </si>
  <si>
    <t>power.d.8</t>
  </si>
  <si>
    <t>power.de.2</t>
  </si>
  <si>
    <t>k-de</t>
  </si>
  <si>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.de.2</t>
    </r>
  </si>
  <si>
    <t>1-α</t>
  </si>
  <si>
    <t>power.de.8</t>
  </si>
  <si>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.de.8</t>
    </r>
  </si>
  <si>
    <t>k-de.8</t>
  </si>
  <si>
    <t>k-de.4</t>
  </si>
  <si>
    <t>power.de.4</t>
  </si>
  <si>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.de.4</t>
    </r>
  </si>
  <si>
    <t>de</t>
  </si>
  <si>
    <t>Effect size estimate, Cohen's d</t>
  </si>
  <si>
    <r>
      <t xml:space="preserve">Estimated α-level for hypothesis testing, which here is the same as the model α and differs from the actual 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 xml:space="preserve"> when bias exists, </t>
    </r>
    <r>
      <rPr>
        <sz val="11"/>
        <color theme="1"/>
        <rFont val="Calibri"/>
        <family val="2"/>
      </rPr>
      <t>αb</t>
    </r>
  </si>
  <si>
    <t>The critical value of difference of the means for determination of the model α-level for a positive, statistically significant result</t>
  </si>
  <si>
    <t>The value used to determine the power of the test for the case that the alternative hypothesis is true (t-distribution with mean d rather than 0), for estimated effect size de.</t>
  </si>
  <si>
    <t>The power of the test, i.e. the probability that the outcome would be positive according to the statistical model if the alternative hypothesis is true, for estimated effect size de.</t>
  </si>
  <si>
    <t>1 - power.  This value of β is calculated from the model, for estimated effect size de.</t>
  </si>
  <si>
    <r>
      <t xml:space="preserve">1 - </t>
    </r>
    <r>
      <rPr>
        <sz val="11"/>
        <color theme="1"/>
        <rFont val="Calibri"/>
        <family val="2"/>
      </rPr>
      <t>β for actual d = 0.2</t>
    </r>
  </si>
  <si>
    <t>Weighted logBF+ =  (1-β)log10[(1-βe)/αe]</t>
  </si>
  <si>
    <t>Weighted logBF- =  β*log10[βe/(1-αe)]</t>
  </si>
  <si>
    <r>
      <t xml:space="preserve">1 - </t>
    </r>
    <r>
      <rPr>
        <sz val="11"/>
        <color theme="1"/>
        <rFont val="Calibri"/>
        <family val="2"/>
      </rPr>
      <t>β for actual d = 0.4</t>
    </r>
  </si>
  <si>
    <r>
      <t xml:space="preserve">1 - </t>
    </r>
    <r>
      <rPr>
        <sz val="11"/>
        <color theme="1"/>
        <rFont val="Calibri"/>
        <family val="2"/>
      </rPr>
      <t>β for actual d = 0.8</t>
    </r>
  </si>
  <si>
    <t>Mean confirmation velocity per trial = WlogBF+ + WlogBF-, for actual d = 0.2.</t>
  </si>
  <si>
    <t>Mean confirmation velocity per trial = WlogBF+ + WlogBF-, for actual d = 0.4.</t>
  </si>
  <si>
    <t>Mean confirmation velocity per trial = WlogBF+ + WlogBF-, for actual d = 0.8.</t>
  </si>
  <si>
    <t>Mean confirmation velocity per trial = WlogBF+ + WlogBF-, for actual d = 0, i.e. false alternative hypothesis case</t>
  </si>
  <si>
    <r>
      <t>Vel0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b.01</t>
    </r>
  </si>
  <si>
    <r>
      <t>Vel0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b.05</t>
    </r>
  </si>
  <si>
    <r>
      <t>Vel0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b.1</t>
    </r>
  </si>
  <si>
    <r>
      <t xml:space="preserve">Mean confirmation velocity per trial = WlogBF+ + WlogBF-, for actual d = 0, i.e. false alternative hypothesis case, assuming added bias </t>
    </r>
    <r>
      <rPr>
        <sz val="11"/>
        <color theme="1"/>
        <rFont val="Calibri"/>
        <family val="2"/>
      </rPr>
      <t>αb = 0.01.</t>
    </r>
  </si>
  <si>
    <t>Mean confirmation velocity per trial = WlogBF+ + WlogBF-, for actual d = 0, i.e. false alternative hypothesis case, assuming added bias αb = 0.1.</t>
  </si>
  <si>
    <t>Mean confirmation velocity per trial = WlogBF+ + WlogBF-, for actual d = 0, i.e. false alternative hypothesis case, assuming added bias αb = 0.05.</t>
  </si>
  <si>
    <r>
      <t>WlogBF0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b.01+</t>
    </r>
  </si>
  <si>
    <r>
      <t>WlogBF0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b.01-</t>
    </r>
  </si>
  <si>
    <r>
      <t>WlogBF0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b.05+</t>
    </r>
  </si>
  <si>
    <r>
      <t>WlogBF0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b.05-</t>
    </r>
  </si>
  <si>
    <r>
      <t>WlogBF0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b.1+</t>
    </r>
  </si>
  <si>
    <r>
      <t>WlogBF0</t>
    </r>
    <r>
      <rPr>
        <sz val="11"/>
        <color theme="1"/>
        <rFont val="Calibri"/>
        <family val="2"/>
      </rPr>
      <t>α</t>
    </r>
    <r>
      <rPr>
        <sz val="11"/>
        <color theme="1"/>
        <rFont val="Calibri"/>
        <family val="2"/>
        <scheme val="minor"/>
      </rPr>
      <t>b.1-</t>
    </r>
  </si>
  <si>
    <r>
      <t xml:space="preserve">Weighted logBF values for actual d = 0, false alternative hypothesis cases, with varying added actual bias </t>
    </r>
    <r>
      <rPr>
        <sz val="11"/>
        <color theme="1"/>
        <rFont val="Calibri"/>
        <family val="2"/>
      </rPr>
      <t>αb that is not included in the estimated α</t>
    </r>
    <r>
      <rPr>
        <sz val="11"/>
        <color theme="1"/>
        <rFont val="Calibri"/>
        <family val="2"/>
        <scheme val="minor"/>
      </rPr>
      <t>-level</t>
    </r>
  </si>
  <si>
    <t>This Microsoft Excel Spreadsheet file calculates values for Figure 4 in the Hypothesis Race Model paper.</t>
  </si>
  <si>
    <r>
      <rPr>
        <sz val="11"/>
        <color theme="1"/>
        <rFont val="Calibri"/>
        <family val="2"/>
      </rPr>
      <t>β</t>
    </r>
    <r>
      <rPr>
        <sz val="11"/>
        <color theme="1"/>
        <rFont val="Calibri"/>
        <family val="2"/>
        <scheme val="minor"/>
      </rPr>
      <t>.de</t>
    </r>
  </si>
  <si>
    <t>power.de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</si>
</sst>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'de.2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'de.2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0.39490741710260302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figs'!$E$2:$E$11</c:f>
              <c:numCache>
                <c:formatCode>General</c:formatCode>
                <c:ptCount val="10"/>
                <c:pt idx="0">
                  <c:v>9.9783516306736139E-2</c:v>
                </c:pt>
                <c:pt idx="1">
                  <c:v>0.12196735278054274</c:v>
                </c:pt>
                <c:pt idx="2">
                  <c:v>0.14644284336790481</c:v>
                </c:pt>
                <c:pt idx="3">
                  <c:v>0.12181518982884838</c:v>
                </c:pt>
                <c:pt idx="4">
                  <c:v>7.3922473669857477E-2</c:v>
                </c:pt>
                <c:pt idx="5">
                  <c:v>2.4704209687428813E-2</c:v>
                </c:pt>
                <c:pt idx="6">
                  <c:v>8.620824272092379E-3</c:v>
                </c:pt>
                <c:pt idx="7">
                  <c:v>2.7540313703404576E-3</c:v>
                </c:pt>
                <c:pt idx="8">
                  <c:v>5.8658976839536664E-4</c:v>
                </c:pt>
                <c:pt idx="9">
                  <c:v>1.8286895475432886E-4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'de.2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'de.2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0.39490741710260302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figs'!$F$2:$F$11</c:f>
              <c:numCache>
                <c:formatCode>General</c:formatCode>
                <c:ptCount val="10"/>
                <c:pt idx="0">
                  <c:v>6.0108376322708365E-2</c:v>
                </c:pt>
                <c:pt idx="1">
                  <c:v>6.8416692567164344E-2</c:v>
                </c:pt>
                <c:pt idx="2">
                  <c:v>6.3155321217610583E-2</c:v>
                </c:pt>
                <c:pt idx="3">
                  <c:v>3.8658939886310278E-2</c:v>
                </c:pt>
                <c:pt idx="4">
                  <c:v>1.8258230619353787E-2</c:v>
                </c:pt>
                <c:pt idx="5">
                  <c:v>5.3461159017370993E-3</c:v>
                </c:pt>
                <c:pt idx="6">
                  <c:v>1.9193819546209309E-3</c:v>
                </c:pt>
                <c:pt idx="7">
                  <c:v>6.6315069299997028E-4</c:v>
                </c:pt>
                <c:pt idx="8">
                  <c:v>1.5885232257361578E-4</c:v>
                </c:pt>
                <c:pt idx="9">
                  <c:v>5.3629855298259637E-5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'de.2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'de.2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0.39490741710260302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figs'!$G$2:$G$11</c:f>
              <c:numCache>
                <c:formatCode>General</c:formatCode>
                <c:ptCount val="10"/>
                <c:pt idx="0">
                  <c:v>2.2939882197502641E-2</c:v>
                </c:pt>
                <c:pt idx="1">
                  <c:v>2.4213942555158303E-2</c:v>
                </c:pt>
                <c:pt idx="2">
                  <c:v>1.8348354236349493E-2</c:v>
                </c:pt>
                <c:pt idx="3">
                  <c:v>9.7980609685684034E-3</c:v>
                </c:pt>
                <c:pt idx="4">
                  <c:v>4.3484849240538973E-3</c:v>
                </c:pt>
                <c:pt idx="5">
                  <c:v>1.2714402708698851E-3</c:v>
                </c:pt>
                <c:pt idx="6">
                  <c:v>4.7013263919450272E-4</c:v>
                </c:pt>
                <c:pt idx="7">
                  <c:v>1.6873587070008987E-4</c:v>
                </c:pt>
                <c:pt idx="8">
                  <c:v>4.2510161480680442E-5</c:v>
                </c:pt>
                <c:pt idx="9">
                  <c:v>1.4850381734442201E-5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'de.2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'de.2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0.39490741710260302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figs'!$H$2:$H$11</c:f>
              <c:numCache>
                <c:formatCode>General</c:formatCode>
                <c:ptCount val="10"/>
                <c:pt idx="0">
                  <c:v>5.2229921734937568E-3</c:v>
                </c:pt>
                <c:pt idx="1">
                  <c:v>5.1257688631346637E-3</c:v>
                </c:pt>
                <c:pt idx="2">
                  <c:v>1.1669214200734322E-2</c:v>
                </c:pt>
                <c:pt idx="3">
                  <c:v>1.7890370578219371E-2</c:v>
                </c:pt>
                <c:pt idx="4">
                  <c:v>2.0219555895487441E-2</c:v>
                </c:pt>
                <c:pt idx="5">
                  <c:v>1.9298928247424706E-2</c:v>
                </c:pt>
                <c:pt idx="6">
                  <c:v>1.7330336138387432E-2</c:v>
                </c:pt>
                <c:pt idx="7">
                  <c:v>1.5111579345904015E-2</c:v>
                </c:pt>
                <c:pt idx="8">
                  <c:v>1.2322897164844915E-2</c:v>
                </c:pt>
                <c:pt idx="9">
                  <c:v>1.0464719313971485E-2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'de.2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'de.2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0.39490741710260302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figs'!$I$2:$I$11</c:f>
              <c:numCache>
                <c:formatCode>General</c:formatCode>
                <c:ptCount val="10"/>
                <c:pt idx="0">
                  <c:v>-9.2834518696740947E-3</c:v>
                </c:pt>
                <c:pt idx="1">
                  <c:v>-9.42236028544019E-3</c:v>
                </c:pt>
                <c:pt idx="2">
                  <c:v>-2.4322145093323561E-3</c:v>
                </c:pt>
                <c:pt idx="3">
                  <c:v>4.7214853958803503E-3</c:v>
                </c:pt>
                <c:pt idx="4">
                  <c:v>8.255578472384421E-3</c:v>
                </c:pt>
                <c:pt idx="5">
                  <c:v>9.1013904473382125E-3</c:v>
                </c:pt>
                <c:pt idx="6">
                  <c:v>8.459304693233291E-3</c:v>
                </c:pt>
                <c:pt idx="7">
                  <c:v>7.4806344026123149E-3</c:v>
                </c:pt>
                <c:pt idx="8">
                  <c:v>6.1421078585517982E-3</c:v>
                </c:pt>
                <c:pt idx="9">
                  <c:v>5.2255067702015349E-3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'de.2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'de.2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0.39490741710260302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figs'!$J$2:$J$11</c:f>
              <c:numCache>
                <c:formatCode>General</c:formatCode>
                <c:ptCount val="10"/>
                <c:pt idx="0">
                  <c:v>-2.3789895912841953E-2</c:v>
                </c:pt>
                <c:pt idx="1">
                  <c:v>-2.3970489434015044E-2</c:v>
                </c:pt>
                <c:pt idx="2">
                  <c:v>-1.6533643219399027E-2</c:v>
                </c:pt>
                <c:pt idx="3">
                  <c:v>-8.4473997864586738E-3</c:v>
                </c:pt>
                <c:pt idx="4">
                  <c:v>-3.708398950718594E-3</c:v>
                </c:pt>
                <c:pt idx="5">
                  <c:v>-1.0961473527482815E-3</c:v>
                </c:pt>
                <c:pt idx="6">
                  <c:v>-4.1172675192085138E-4</c:v>
                </c:pt>
                <c:pt idx="7">
                  <c:v>-1.5031054067938653E-4</c:v>
                </c:pt>
                <c:pt idx="8">
                  <c:v>-3.8681447741318567E-5</c:v>
                </c:pt>
                <c:pt idx="9">
                  <c:v>-1.370577356841369E-5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'de.2 figs'!$K$1</c:f>
              <c:strCache>
                <c:ptCount val="1"/>
                <c:pt idx="0">
                  <c:v>Vel0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'de.2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0.39490741710260302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figs'!$K$2:$K$11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'de.2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'de.2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0.25781843005371102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figs'!$E$12:$E$21</c:f>
              <c:numCache>
                <c:formatCode>General</c:formatCode>
                <c:ptCount val="10"/>
                <c:pt idx="0">
                  <c:v>0.20827331417585088</c:v>
                </c:pt>
                <c:pt idx="1">
                  <c:v>0.35714861073048604</c:v>
                </c:pt>
                <c:pt idx="2">
                  <c:v>0.40496187678939416</c:v>
                </c:pt>
                <c:pt idx="3">
                  <c:v>0.51286135093689056</c:v>
                </c:pt>
                <c:pt idx="4">
                  <c:v>0.58938733623522799</c:v>
                </c:pt>
                <c:pt idx="5">
                  <c:v>0.64160906513807903</c:v>
                </c:pt>
                <c:pt idx="6">
                  <c:v>0.64214009570626551</c:v>
                </c:pt>
                <c:pt idx="7">
                  <c:v>0.6090223745003801</c:v>
                </c:pt>
                <c:pt idx="8">
                  <c:v>0.52041293753450446</c:v>
                </c:pt>
                <c:pt idx="9">
                  <c:v>0.43054118516620937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'de.2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'de.2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0.25781843005371102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figs'!$F$12:$F$21</c:f>
              <c:numCache>
                <c:formatCode>General</c:formatCode>
                <c:ptCount val="10"/>
                <c:pt idx="0">
                  <c:v>0.18083604544049911</c:v>
                </c:pt>
                <c:pt idx="1">
                  <c:v>0.27520151249393277</c:v>
                </c:pt>
                <c:pt idx="2">
                  <c:v>0.29515331671603423</c:v>
                </c:pt>
                <c:pt idx="3">
                  <c:v>0.31160452643708375</c:v>
                </c:pt>
                <c:pt idx="4">
                  <c:v>0.28572484067953485</c:v>
                </c:pt>
                <c:pt idx="5">
                  <c:v>0.21731134823621037</c:v>
                </c:pt>
                <c:pt idx="6">
                  <c:v>0.16005719367395263</c:v>
                </c:pt>
                <c:pt idx="7">
                  <c:v>0.109607561550951</c:v>
                </c:pt>
                <c:pt idx="8">
                  <c:v>6.0295834009727642E-2</c:v>
                </c:pt>
                <c:pt idx="9">
                  <c:v>3.5991672084119047E-2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'de.2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'de.2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0.25781843005371102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figs'!$G$12:$G$21</c:f>
              <c:numCache>
                <c:formatCode>General</c:formatCode>
                <c:ptCount val="10"/>
                <c:pt idx="0">
                  <c:v>8.9148686767098154E-2</c:v>
                </c:pt>
                <c:pt idx="1">
                  <c:v>0.10675666617536753</c:v>
                </c:pt>
                <c:pt idx="2">
                  <c:v>0.10499491612061065</c:v>
                </c:pt>
                <c:pt idx="3">
                  <c:v>8.838862336654324E-2</c:v>
                </c:pt>
                <c:pt idx="4">
                  <c:v>6.5596950882397878E-2</c:v>
                </c:pt>
                <c:pt idx="5">
                  <c:v>3.8737328247990407E-2</c:v>
                </c:pt>
                <c:pt idx="6">
                  <c:v>2.4104156511108185E-2</c:v>
                </c:pt>
                <c:pt idx="7">
                  <c:v>1.4240890955096392E-2</c:v>
                </c:pt>
                <c:pt idx="8">
                  <c:v>6.6581895553384784E-3</c:v>
                </c:pt>
                <c:pt idx="9">
                  <c:v>3.5993032261794149E-3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'de.2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'de.2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0.25781843005371102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figs'!$H$12:$H$21</c:f>
              <c:numCache>
                <c:formatCode>General</c:formatCode>
                <c:ptCount val="10"/>
                <c:pt idx="0">
                  <c:v>-4.1704143124224297E-2</c:v>
                </c:pt>
                <c:pt idx="1">
                  <c:v>-3.7058416953647838E-2</c:v>
                </c:pt>
                <c:pt idx="2">
                  <c:v>-2.8232502692729047E-2</c:v>
                </c:pt>
                <c:pt idx="3">
                  <c:v>-8.5039002565942545E-5</c:v>
                </c:pt>
                <c:pt idx="4">
                  <c:v>2.5847870744886148E-2</c:v>
                </c:pt>
                <c:pt idx="5">
                  <c:v>5.158415310171479E-2</c:v>
                </c:pt>
                <c:pt idx="6">
                  <c:v>6.4849735506873049E-2</c:v>
                </c:pt>
                <c:pt idx="7">
                  <c:v>7.3966350104337997E-2</c:v>
                </c:pt>
                <c:pt idx="8">
                  <c:v>8.1504673961119253E-2</c:v>
                </c:pt>
                <c:pt idx="9">
                  <c:v>8.4883724486704643E-2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'de.2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'de.2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0.25781843005371102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figs'!$I$12:$I$21</c:f>
              <c:numCache>
                <c:formatCode>General</c:formatCode>
                <c:ptCount val="10"/>
                <c:pt idx="0">
                  <c:v>-7.3029941584482214E-2</c:v>
                </c:pt>
                <c:pt idx="1">
                  <c:v>-6.7964804896541747E-2</c:v>
                </c:pt>
                <c:pt idx="2">
                  <c:v>-5.9480407875113314E-2</c:v>
                </c:pt>
                <c:pt idx="3">
                  <c:v>-3.2892501607165309E-2</c:v>
                </c:pt>
                <c:pt idx="4">
                  <c:v>-8.941600077993439E-3</c:v>
                </c:pt>
                <c:pt idx="5">
                  <c:v>1.4104676329089079E-2</c:v>
                </c:pt>
                <c:pt idx="6">
                  <c:v>2.5519471511658998E-2</c:v>
                </c:pt>
                <c:pt idx="7">
                  <c:v>3.305265970323977E-2</c:v>
                </c:pt>
                <c:pt idx="8">
                  <c:v>3.8974345545754949E-2</c:v>
                </c:pt>
                <c:pt idx="9">
                  <c:v>4.1495836953936042E-2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'de.2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'de.2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0.25781843005371102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figs'!$J$12:$J$21</c:f>
              <c:numCache>
                <c:formatCode>General</c:formatCode>
                <c:ptCount val="10"/>
                <c:pt idx="0">
                  <c:v>-0.10435574004474014</c:v>
                </c:pt>
                <c:pt idx="1">
                  <c:v>-9.8871192839435657E-2</c:v>
                </c:pt>
                <c:pt idx="2">
                  <c:v>-9.0728313057497609E-2</c:v>
                </c:pt>
                <c:pt idx="3">
                  <c:v>-6.5699964211764716E-2</c:v>
                </c:pt>
                <c:pt idx="4">
                  <c:v>-4.3731070900873012E-2</c:v>
                </c:pt>
                <c:pt idx="5">
                  <c:v>-2.3374800443536639E-2</c:v>
                </c:pt>
                <c:pt idx="6">
                  <c:v>-1.3810792483555059E-2</c:v>
                </c:pt>
                <c:pt idx="7">
                  <c:v>-7.8610306978584531E-3</c:v>
                </c:pt>
                <c:pt idx="8">
                  <c:v>-3.555982869609349E-3</c:v>
                </c:pt>
                <c:pt idx="9">
                  <c:v>-1.8920505788325636E-3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'de.2 figs'!$K$1</c:f>
              <c:strCache>
                <c:ptCount val="1"/>
                <c:pt idx="0">
                  <c:v>Vel0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'de.2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0.25781843005371102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figs'!$K$12:$K$21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N=80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'de.2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'de.2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8.2406549546977001E-2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figs'!$E$22:$E$31</c:f>
              <c:numCache>
                <c:formatCode>General</c:formatCode>
                <c:ptCount val="10"/>
                <c:pt idx="0">
                  <c:v>0.28387278134217336</c:v>
                </c:pt>
                <c:pt idx="1">
                  <c:v>0.61575837094116326</c:v>
                </c:pt>
                <c:pt idx="2">
                  <c:v>0.83855806063636185</c:v>
                </c:pt>
                <c:pt idx="3">
                  <c:v>0.89696764597152845</c:v>
                </c:pt>
                <c:pt idx="4">
                  <c:v>1.040898928046766</c:v>
                </c:pt>
                <c:pt idx="5">
                  <c:v>1.2818558119039807</c:v>
                </c:pt>
                <c:pt idx="6">
                  <c:v>1.4469929920902207</c:v>
                </c:pt>
                <c:pt idx="7">
                  <c:v>1.5993565174943749</c:v>
                </c:pt>
                <c:pt idx="8">
                  <c:v>1.7835550931320796</c:v>
                </c:pt>
                <c:pt idx="9">
                  <c:v>1.911320009909802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'de.2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'de.2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8.2406549546977001E-2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figs'!$F$22:$F$31</c:f>
              <c:numCache>
                <c:formatCode>General</c:formatCode>
                <c:ptCount val="10"/>
                <c:pt idx="0">
                  <c:v>0.28345729872628289</c:v>
                </c:pt>
                <c:pt idx="1">
                  <c:v>0.61079345110725336</c:v>
                </c:pt>
                <c:pt idx="2">
                  <c:v>0.82231515030292135</c:v>
                </c:pt>
                <c:pt idx="3">
                  <c:v>0.87554279572869442</c:v>
                </c:pt>
                <c:pt idx="4">
                  <c:v>1.0004137661912973</c:v>
                </c:pt>
                <c:pt idx="5">
                  <c:v>1.1778241544480332</c:v>
                </c:pt>
                <c:pt idx="6">
                  <c:v>1.2627294896980963</c:v>
                </c:pt>
                <c:pt idx="7">
                  <c:v>1.3021770947935243</c:v>
                </c:pt>
                <c:pt idx="8">
                  <c:v>1.2853634359254866</c:v>
                </c:pt>
                <c:pt idx="9">
                  <c:v>1.2256232019299915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'de.2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'de.2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8.2406549546977001E-2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figs'!$G$22:$G$31</c:f>
              <c:numCache>
                <c:formatCode>General</c:formatCode>
                <c:ptCount val="10"/>
                <c:pt idx="0">
                  <c:v>0.2298468267469235</c:v>
                </c:pt>
                <c:pt idx="1">
                  <c:v>0.3930268888944905</c:v>
                </c:pt>
                <c:pt idx="2">
                  <c:v>0.4347114742811265</c:v>
                </c:pt>
                <c:pt idx="3">
                  <c:v>0.43654651429626123</c:v>
                </c:pt>
                <c:pt idx="4">
                  <c:v>0.42588326122883047</c:v>
                </c:pt>
                <c:pt idx="5">
                  <c:v>0.36668348803698381</c:v>
                </c:pt>
                <c:pt idx="6">
                  <c:v>0.30546408059338498</c:v>
                </c:pt>
                <c:pt idx="7">
                  <c:v>0.24253595443584516</c:v>
                </c:pt>
                <c:pt idx="8">
                  <c:v>0.16808043278079868</c:v>
                </c:pt>
                <c:pt idx="9">
                  <c:v>0.12236433574999558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'de.2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'de.2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8.2406549546977001E-2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figs'!$H$22:$H$31</c:f>
              <c:numCache>
                <c:formatCode>General</c:formatCode>
                <c:ptCount val="10"/>
                <c:pt idx="0">
                  <c:v>-0.27401949550139237</c:v>
                </c:pt>
                <c:pt idx="1">
                  <c:v>-0.2784148886805704</c:v>
                </c:pt>
                <c:pt idx="2">
                  <c:v>-0.20207548149865187</c:v>
                </c:pt>
                <c:pt idx="3">
                  <c:v>-0.17864180620515829</c:v>
                </c:pt>
                <c:pt idx="4">
                  <c:v>-0.11918756121130036</c:v>
                </c:pt>
                <c:pt idx="5">
                  <c:v>-2.2835263192139021E-2</c:v>
                </c:pt>
                <c:pt idx="6">
                  <c:v>3.6135449545141668E-2</c:v>
                </c:pt>
                <c:pt idx="7">
                  <c:v>8.3746716014925074E-2</c:v>
                </c:pt>
                <c:pt idx="8">
                  <c:v>0.132180934341179</c:v>
                </c:pt>
                <c:pt idx="9">
                  <c:v>0.16023253220283609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'de.2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'de.2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8.2406549546977001E-2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figs'!$I$22:$I$31</c:f>
              <c:numCache>
                <c:formatCode>General</c:formatCode>
                <c:ptCount val="10"/>
                <c:pt idx="0">
                  <c:v>-0.34375603013964828</c:v>
                </c:pt>
                <c:pt idx="1">
                  <c:v>-0.34228440791427217</c:v>
                </c:pt>
                <c:pt idx="2">
                  <c:v>-0.26711508196665867</c:v>
                </c:pt>
                <c:pt idx="3">
                  <c:v>-0.24442080407714309</c:v>
                </c:pt>
                <c:pt idx="4">
                  <c:v>-0.18742796179942572</c:v>
                </c:pt>
                <c:pt idx="5">
                  <c:v>-9.6965547162489396E-2</c:v>
                </c:pt>
                <c:pt idx="6">
                  <c:v>-4.3126563769791973E-2</c:v>
                </c:pt>
                <c:pt idx="7">
                  <c:v>-9.2525165777893048E-4</c:v>
                </c:pt>
                <c:pt idx="8">
                  <c:v>4.0229911724868693E-2</c:v>
                </c:pt>
                <c:pt idx="9">
                  <c:v>6.2832815380920587E-2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'de.2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'de.2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8.2406549546977001E-2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figs'!$J$22:$J$31</c:f>
              <c:numCache>
                <c:formatCode>General</c:formatCode>
                <c:ptCount val="10"/>
                <c:pt idx="0">
                  <c:v>-0.41349256477790419</c:v>
                </c:pt>
                <c:pt idx="1">
                  <c:v>-0.40615392714797394</c:v>
                </c:pt>
                <c:pt idx="2">
                  <c:v>-0.33215468243466556</c:v>
                </c:pt>
                <c:pt idx="3">
                  <c:v>-0.31019980194912794</c:v>
                </c:pt>
                <c:pt idx="4">
                  <c:v>-0.2556683623875512</c:v>
                </c:pt>
                <c:pt idx="5">
                  <c:v>-0.1710958311328398</c:v>
                </c:pt>
                <c:pt idx="6">
                  <c:v>-0.12238857708472561</c:v>
                </c:pt>
                <c:pt idx="7">
                  <c:v>-8.5597219330482949E-2</c:v>
                </c:pt>
                <c:pt idx="8">
                  <c:v>-5.172111089144163E-2</c:v>
                </c:pt>
                <c:pt idx="9">
                  <c:v>-3.4566901440994897E-2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'de.2 figs'!$K$1</c:f>
              <c:strCache>
                <c:ptCount val="1"/>
                <c:pt idx="0">
                  <c:v>Vel0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'de.2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8.2406549546977001E-2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'de.2 figs'!$K$22:$K$31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N=320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'de.2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'de.2 figs'!$C$32:$C$41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1.95909654645338E-3</c:v>
                </c:pt>
                <c:pt idx="9">
                  <c:v>1E-3</c:v>
                </c:pt>
              </c:numCache>
            </c:numRef>
          </c:xVal>
          <c:yVal>
            <c:numRef>
              <c:f>'de.2 figs'!$E$32:$E$41</c:f>
              <c:numCache>
                <c:formatCode>General</c:formatCode>
                <c:ptCount val="10"/>
                <c:pt idx="0">
                  <c:v>0.30094303888949198</c:v>
                </c:pt>
                <c:pt idx="1">
                  <c:v>0.69753715623480061</c:v>
                </c:pt>
                <c:pt idx="2">
                  <c:v>0.99509324019000245</c:v>
                </c:pt>
                <c:pt idx="3">
                  <c:v>1.2889788859771631</c:v>
                </c:pt>
                <c:pt idx="4">
                  <c:v>1.6696355098092994</c:v>
                </c:pt>
                <c:pt idx="5">
                  <c:v>1.9503577611179144</c:v>
                </c:pt>
                <c:pt idx="6">
                  <c:v>2.2240940722813627</c:v>
                </c:pt>
                <c:pt idx="7">
                  <c:v>2.5746188920929396</c:v>
                </c:pt>
                <c:pt idx="8">
                  <c:v>2.5823722523817438</c:v>
                </c:pt>
                <c:pt idx="9">
                  <c:v>2.8310414468090976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'de.2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'de.2 figs'!$C$32:$C$41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1.95909654645338E-3</c:v>
                </c:pt>
                <c:pt idx="9">
                  <c:v>1E-3</c:v>
                </c:pt>
              </c:numCache>
            </c:numRef>
          </c:xVal>
          <c:yVal>
            <c:numRef>
              <c:f>'de.2 figs'!$F$32:$F$41</c:f>
              <c:numCache>
                <c:formatCode>General</c:formatCode>
                <c:ptCount val="10"/>
                <c:pt idx="0">
                  <c:v>0.30094303887884488</c:v>
                </c:pt>
                <c:pt idx="1">
                  <c:v>0.69753715482000911</c:v>
                </c:pt>
                <c:pt idx="2">
                  <c:v>0.9950932244581252</c:v>
                </c:pt>
                <c:pt idx="3">
                  <c:v>1.2889787789009779</c:v>
                </c:pt>
                <c:pt idx="4">
                  <c:v>1.669634651235216</c:v>
                </c:pt>
                <c:pt idx="5">
                  <c:v>1.9503544805130399</c:v>
                </c:pt>
                <c:pt idx="6">
                  <c:v>2.2240832774284129</c:v>
                </c:pt>
                <c:pt idx="7">
                  <c:v>2.5745753981421071</c:v>
                </c:pt>
                <c:pt idx="8">
                  <c:v>2.5823274615881537</c:v>
                </c:pt>
                <c:pt idx="9">
                  <c:v>2.8309298488069574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'de.2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'de.2 figs'!$C$32:$C$41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1.95909654645338E-3</c:v>
                </c:pt>
                <c:pt idx="9">
                  <c:v>1E-3</c:v>
                </c:pt>
              </c:numCache>
            </c:numRef>
          </c:xVal>
          <c:yVal>
            <c:numRef>
              <c:f>'de.2 figs'!$G$32:$G$41</c:f>
              <c:numCache>
                <c:formatCode>General</c:formatCode>
                <c:ptCount val="10"/>
                <c:pt idx="0">
                  <c:v>0.30020259201132188</c:v>
                </c:pt>
                <c:pt idx="1">
                  <c:v>0.68738255368240597</c:v>
                </c:pt>
                <c:pt idx="2">
                  <c:v>0.96252651235076891</c:v>
                </c:pt>
                <c:pt idx="3">
                  <c:v>1.2115440446642034</c:v>
                </c:pt>
                <c:pt idx="4">
                  <c:v>1.4837601109672289</c:v>
                </c:pt>
                <c:pt idx="5">
                  <c:v>1.6357641825156841</c:v>
                </c:pt>
                <c:pt idx="6">
                  <c:v>1.7351901277994168</c:v>
                </c:pt>
                <c:pt idx="7">
                  <c:v>1.7834513813984525</c:v>
                </c:pt>
                <c:pt idx="8">
                  <c:v>1.7834741272807975</c:v>
                </c:pt>
                <c:pt idx="9">
                  <c:v>1.7602669800034778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'de.2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'de.2 figs'!$C$32:$C$41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1.95909654645338E-3</c:v>
                </c:pt>
                <c:pt idx="9">
                  <c:v>1E-3</c:v>
                </c:pt>
              </c:numCache>
            </c:numRef>
          </c:xVal>
          <c:yVal>
            <c:numRef>
              <c:f>'de.2 figs'!$H$32:$H$41</c:f>
              <c:numCache>
                <c:formatCode>General</c:formatCode>
                <c:ptCount val="10"/>
                <c:pt idx="0">
                  <c:v>-1.1784319251952082</c:v>
                </c:pt>
                <c:pt idx="1">
                  <c:v>-1.4605121141355726</c:v>
                </c:pt>
                <c:pt idx="2">
                  <c:v>-1.3239278250180997</c:v>
                </c:pt>
                <c:pt idx="3">
                  <c:v>-1.116071791036485</c:v>
                </c:pt>
                <c:pt idx="4">
                  <c:v>-0.83471423223616736</c:v>
                </c:pt>
                <c:pt idx="5">
                  <c:v>-0.64177669032560525</c:v>
                </c:pt>
                <c:pt idx="6">
                  <c:v>-0.471173829352868</c:v>
                </c:pt>
                <c:pt idx="7">
                  <c:v>-0.27884532884275182</c:v>
                </c:pt>
                <c:pt idx="8">
                  <c:v>-0.27491244598573483</c:v>
                </c:pt>
                <c:pt idx="9">
                  <c:v>-0.15575566114152106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'de.2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'de.2 figs'!$C$32:$C$41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1.95909654645338E-3</c:v>
                </c:pt>
                <c:pt idx="9">
                  <c:v>1E-3</c:v>
                </c:pt>
              </c:numCache>
            </c:numRef>
          </c:xVal>
          <c:yVal>
            <c:numRef>
              <c:f>'de.2 figs'!$I$32:$I$41</c:f>
              <c:numCache>
                <c:formatCode>General</c:formatCode>
                <c:ptCount val="10"/>
                <c:pt idx="0">
                  <c:v>-1.3633537957057955</c:v>
                </c:pt>
                <c:pt idx="1">
                  <c:v>-1.614658490590599</c:v>
                </c:pt>
                <c:pt idx="2">
                  <c:v>-1.4688666415936058</c:v>
                </c:pt>
                <c:pt idx="3">
                  <c:v>-1.2575453602725819</c:v>
                </c:pt>
                <c:pt idx="4">
                  <c:v>-0.97700683121602327</c:v>
                </c:pt>
                <c:pt idx="5">
                  <c:v>-0.78740222130557824</c:v>
                </c:pt>
                <c:pt idx="6">
                  <c:v>-0.62174745514248986</c:v>
                </c:pt>
                <c:pt idx="7">
                  <c:v>-0.43772418301511767</c:v>
                </c:pt>
                <c:pt idx="8">
                  <c:v>-0.43399677540655379</c:v>
                </c:pt>
                <c:pt idx="9">
                  <c:v>-0.32187340908093254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'de.2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'de.2 figs'!$C$32:$C$41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1.95909654645338E-3</c:v>
                </c:pt>
                <c:pt idx="9">
                  <c:v>1E-3</c:v>
                </c:pt>
              </c:numCache>
            </c:numRef>
          </c:xVal>
          <c:yVal>
            <c:numRef>
              <c:f>'de.2 figs'!$J$32:$J$41</c:f>
              <c:numCache>
                <c:formatCode>General</c:formatCode>
                <c:ptCount val="10"/>
                <c:pt idx="0">
                  <c:v>-1.5482756662163832</c:v>
                </c:pt>
                <c:pt idx="1">
                  <c:v>-1.7688048670456256</c:v>
                </c:pt>
                <c:pt idx="2">
                  <c:v>-1.6138054581691121</c:v>
                </c:pt>
                <c:pt idx="3">
                  <c:v>-1.399018929508679</c:v>
                </c:pt>
                <c:pt idx="4">
                  <c:v>-1.1192994301958794</c:v>
                </c:pt>
                <c:pt idx="5">
                  <c:v>-0.93302775228555124</c:v>
                </c:pt>
                <c:pt idx="6">
                  <c:v>-0.77232108093211171</c:v>
                </c:pt>
                <c:pt idx="7">
                  <c:v>-0.59660303718748364</c:v>
                </c:pt>
                <c:pt idx="8">
                  <c:v>-0.59308110482737286</c:v>
                </c:pt>
                <c:pt idx="9">
                  <c:v>-0.48799115702034407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'de.2 figs'!$K$1</c:f>
              <c:strCache>
                <c:ptCount val="1"/>
                <c:pt idx="0">
                  <c:v>Vel0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'de.2 figs'!$C$32:$C$41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1.95909654645338E-3</c:v>
                </c:pt>
                <c:pt idx="9">
                  <c:v>1E-3</c:v>
                </c:pt>
              </c:numCache>
            </c:numRef>
          </c:xVal>
          <c:yVal>
            <c:numRef>
              <c:f>'de.2 figs'!$K$32:$K$41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N=1280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'de.2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'de.2 figs'!$C$42:$C$50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'de.2 figs'!$E$42:$E$50</c:f>
              <c:numCache>
                <c:formatCode>General</c:formatCode>
                <c:ptCount val="9"/>
                <c:pt idx="0">
                  <c:v>0.30102999566367694</c:v>
                </c:pt>
                <c:pt idx="1">
                  <c:v>0.69897000425449596</c:v>
                </c:pt>
                <c:pt idx="2">
                  <c:v>0.99999999881810231</c:v>
                </c:pt>
                <c:pt idx="3">
                  <c:v>1.3010299862186314</c:v>
                </c:pt>
                <c:pt idx="4">
                  <c:v>1.6989699192765735</c:v>
                </c:pt>
                <c:pt idx="5">
                  <c:v>1.9999996613565842</c:v>
                </c:pt>
                <c:pt idx="6">
                  <c:v>2.3010288650693127</c:v>
                </c:pt>
                <c:pt idx="7">
                  <c:v>2.6989654865351294</c:v>
                </c:pt>
                <c:pt idx="8">
                  <c:v>2.9999886395711388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'de.2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'de.2 figs'!$C$42:$C$50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'de.2 figs'!$F$42:$F$50</c:f>
              <c:numCache>
                <c:formatCode>General</c:formatCode>
                <c:ptCount val="9"/>
                <c:pt idx="0">
                  <c:v>0.30102999566367694</c:v>
                </c:pt>
                <c:pt idx="1">
                  <c:v>0.69897000425449596</c:v>
                </c:pt>
                <c:pt idx="2">
                  <c:v>0.99999999881810231</c:v>
                </c:pt>
                <c:pt idx="3">
                  <c:v>1.3010299862186314</c:v>
                </c:pt>
                <c:pt idx="4">
                  <c:v>1.6989699192765735</c:v>
                </c:pt>
                <c:pt idx="5">
                  <c:v>1.9999996613565842</c:v>
                </c:pt>
                <c:pt idx="6">
                  <c:v>2.3010288650693127</c:v>
                </c:pt>
                <c:pt idx="7">
                  <c:v>2.6989654865351294</c:v>
                </c:pt>
                <c:pt idx="8">
                  <c:v>2.9999886395711388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'de.2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'de.2 figs'!$C$42:$C$50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'de.2 figs'!$G$42:$G$50</c:f>
              <c:numCache>
                <c:formatCode>General</c:formatCode>
                <c:ptCount val="9"/>
                <c:pt idx="0">
                  <c:v>0.30102999565516203</c:v>
                </c:pt>
                <c:pt idx="1">
                  <c:v>0.69897000231568707</c:v>
                </c:pt>
                <c:pt idx="2">
                  <c:v>0.99999997291168918</c:v>
                </c:pt>
                <c:pt idx="3">
                  <c:v>1.3010297917563578</c:v>
                </c:pt>
                <c:pt idx="4">
                  <c:v>1.6989682744224248</c:v>
                </c:pt>
                <c:pt idx="5">
                  <c:v>1.9999933424743448</c:v>
                </c:pt>
                <c:pt idx="6">
                  <c:v>2.3010083424987671</c:v>
                </c:pt>
                <c:pt idx="7">
                  <c:v>2.6988855848817668</c:v>
                </c:pt>
                <c:pt idx="8">
                  <c:v>2.9997903108477928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'de.2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'de.2 figs'!$C$42:$C$50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'de.2 figs'!$H$42:$H$50</c:f>
              <c:numCache>
                <c:formatCode>General</c:formatCode>
                <c:ptCount val="9"/>
                <c:pt idx="0">
                  <c:v>-4.5607941687149491</c:v>
                </c:pt>
                <c:pt idx="1">
                  <c:v>-6.531025475591643</c:v>
                </c:pt>
                <c:pt idx="2">
                  <c:v>-6.6155575528527413</c:v>
                </c:pt>
                <c:pt idx="3">
                  <c:v>-6.2990918982843001</c:v>
                </c:pt>
                <c:pt idx="4">
                  <c:v>-5.6914969469496759</c:v>
                </c:pt>
                <c:pt idx="5">
                  <c:v>-5.2122726020838233</c:v>
                </c:pt>
                <c:pt idx="6">
                  <c:v>-4.7545513857885418</c:v>
                </c:pt>
                <c:pt idx="7">
                  <c:v>-4.1985325627463697</c:v>
                </c:pt>
                <c:pt idx="8">
                  <c:v>-3.81618386455995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'de.2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'de.2 figs'!$C$42:$C$50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'de.2 figs'!$I$42:$I$50</c:f>
              <c:numCache>
                <c:formatCode>General</c:formatCode>
                <c:ptCount val="9"/>
                <c:pt idx="0">
                  <c:v>-5.1685221892622772</c:v>
                </c:pt>
                <c:pt idx="1">
                  <c:v>-7.0474537241520823</c:v>
                </c:pt>
                <c:pt idx="2">
                  <c:v>-7.0915298998321683</c:v>
                </c:pt>
                <c:pt idx="3">
                  <c:v>-6.7461578914903537</c:v>
                </c:pt>
                <c:pt idx="4">
                  <c:v>-6.1114098370761667</c:v>
                </c:pt>
                <c:pt idx="5">
                  <c:v>-5.6174564371085651</c:v>
                </c:pt>
                <c:pt idx="6">
                  <c:v>-5.1487178802498734</c:v>
                </c:pt>
                <c:pt idx="7">
                  <c:v>-4.5825803383188362</c:v>
                </c:pt>
                <c:pt idx="8">
                  <c:v>-4.1952813342001658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'de.2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'de.2 figs'!$C$42:$C$50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'de.2 figs'!$J$42:$J$50</c:f>
              <c:numCache>
                <c:formatCode>General</c:formatCode>
                <c:ptCount val="9"/>
                <c:pt idx="0">
                  <c:v>-5.7762502098096054</c:v>
                </c:pt>
                <c:pt idx="1">
                  <c:v>-7.5638819727125206</c:v>
                </c:pt>
                <c:pt idx="2">
                  <c:v>-7.5675022468115962</c:v>
                </c:pt>
                <c:pt idx="3">
                  <c:v>-7.1932238846964092</c:v>
                </c:pt>
                <c:pt idx="4">
                  <c:v>-6.5313227272026593</c:v>
                </c:pt>
                <c:pt idx="5">
                  <c:v>-6.022640272133307</c:v>
                </c:pt>
                <c:pt idx="6">
                  <c:v>-5.542884374711206</c:v>
                </c:pt>
                <c:pt idx="7">
                  <c:v>-4.9666281138913027</c:v>
                </c:pt>
                <c:pt idx="8">
                  <c:v>-4.5743788038403821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'de.2 figs'!$K$1</c:f>
              <c:strCache>
                <c:ptCount val="1"/>
                <c:pt idx="0">
                  <c:v>Vel0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'de.2 figs'!$C$42:$C$50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'de.2 figs'!$K$42:$K$50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'de.4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'de.4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0.29892134052533298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figs'!$E$2:$E$11</c:f>
              <c:numCache>
                <c:formatCode>General</c:formatCode>
                <c:ptCount val="10"/>
                <c:pt idx="0">
                  <c:v>0.15574057342594477</c:v>
                </c:pt>
                <c:pt idx="1">
                  <c:v>0.23141931105830665</c:v>
                </c:pt>
                <c:pt idx="2">
                  <c:v>0.25551761624383873</c:v>
                </c:pt>
                <c:pt idx="3">
                  <c:v>0.22580598765805993</c:v>
                </c:pt>
                <c:pt idx="4">
                  <c:v>0.14190278729759384</c:v>
                </c:pt>
                <c:pt idx="5">
                  <c:v>4.8143680998586513E-2</c:v>
                </c:pt>
                <c:pt idx="6">
                  <c:v>1.6743284747526892E-2</c:v>
                </c:pt>
                <c:pt idx="7">
                  <c:v>5.2959790131087226E-3</c:v>
                </c:pt>
                <c:pt idx="8">
                  <c:v>1.1090035337884682E-3</c:v>
                </c:pt>
                <c:pt idx="9">
                  <c:v>3.4122919490224476E-4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'de.4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'de.4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0.29892134052533298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figs'!$F$2:$F$11</c:f>
              <c:numCache>
                <c:formatCode>General</c:formatCode>
                <c:ptCount val="10"/>
                <c:pt idx="0">
                  <c:v>7.7348128375962041E-2</c:v>
                </c:pt>
                <c:pt idx="1">
                  <c:v>9.4381326553488881E-2</c:v>
                </c:pt>
                <c:pt idx="2">
                  <c:v>8.6672237761010268E-2</c:v>
                </c:pt>
                <c:pt idx="3">
                  <c:v>5.480733130192568E-2</c:v>
                </c:pt>
                <c:pt idx="4">
                  <c:v>2.6318596976474221E-2</c:v>
                </c:pt>
                <c:pt idx="5">
                  <c:v>7.7341604895382419E-3</c:v>
                </c:pt>
                <c:pt idx="6">
                  <c:v>2.7623646387107941E-3</c:v>
                </c:pt>
                <c:pt idx="7">
                  <c:v>9.4672280799438071E-4</c:v>
                </c:pt>
                <c:pt idx="8">
                  <c:v>2.2414665548231431E-4</c:v>
                </c:pt>
                <c:pt idx="9">
                  <c:v>7.5047321781919973E-5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'de.4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'de.4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0.29892134052533298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figs'!$G$2:$G$11</c:f>
              <c:numCache>
                <c:formatCode>General</c:formatCode>
                <c:ptCount val="10"/>
                <c:pt idx="0">
                  <c:v>3.9084597453335757E-3</c:v>
                </c:pt>
                <c:pt idx="1">
                  <c:v>-1.2743108254598956E-3</c:v>
                </c:pt>
                <c:pt idx="2">
                  <c:v>-4.163089107840523E-3</c:v>
                </c:pt>
                <c:pt idx="3">
                  <c:v>-4.5408418011327611E-3</c:v>
                </c:pt>
                <c:pt idx="4">
                  <c:v>-2.5643376626481099E-3</c:v>
                </c:pt>
                <c:pt idx="5">
                  <c:v>-7.716195886092788E-4</c:v>
                </c:pt>
                <c:pt idx="6">
                  <c:v>-2.6113954693418769E-4</c:v>
                </c:pt>
                <c:pt idx="7">
                  <c:v>-8.1713083681368877E-5</c:v>
                </c:pt>
                <c:pt idx="8">
                  <c:v>-1.6529400555544724E-5</c:v>
                </c:pt>
                <c:pt idx="9">
                  <c:v>-4.8231891956484509E-6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'de.4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'de.4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0.29892134052533298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figs'!$H$2:$H$11</c:f>
              <c:numCache>
                <c:formatCode>General</c:formatCode>
                <c:ptCount val="10"/>
                <c:pt idx="0">
                  <c:v>-3.1097600175887349E-2</c:v>
                </c:pt>
                <c:pt idx="1">
                  <c:v>-3.279893468692846E-2</c:v>
                </c:pt>
                <c:pt idx="2">
                  <c:v>-1.7703435826502911E-2</c:v>
                </c:pt>
                <c:pt idx="3">
                  <c:v>1.2099808432906811E-2</c:v>
                </c:pt>
                <c:pt idx="4">
                  <c:v>3.0391196936067184E-2</c:v>
                </c:pt>
                <c:pt idx="5">
                  <c:v>3.6860295680530564E-2</c:v>
                </c:pt>
                <c:pt idx="6">
                  <c:v>3.4913550762052763E-2</c:v>
                </c:pt>
                <c:pt idx="7">
                  <c:v>3.1001005031657432E-2</c:v>
                </c:pt>
                <c:pt idx="8">
                  <c:v>2.5387804529835575E-2</c:v>
                </c:pt>
                <c:pt idx="9">
                  <c:v>2.151780965141966E-2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'de.4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'de.4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0.29892134052533298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figs'!$I$2:$I$11</c:f>
              <c:numCache>
                <c:formatCode>General</c:formatCode>
                <c:ptCount val="10"/>
                <c:pt idx="0">
                  <c:v>-5.9760274535259283E-2</c:v>
                </c:pt>
                <c:pt idx="1">
                  <c:v>-6.1784152652502894E-2</c:v>
                </c:pt>
                <c:pt idx="2">
                  <c:v>-4.6290684026819545E-2</c:v>
                </c:pt>
                <c:pt idx="3">
                  <c:v>-1.4980076403701872E-2</c:v>
                </c:pt>
                <c:pt idx="4">
                  <c:v>5.548558867408418E-3</c:v>
                </c:pt>
                <c:pt idx="5">
                  <c:v>1.5573199056431552E-2</c:v>
                </c:pt>
                <c:pt idx="6">
                  <c:v>1.6406313656669162E-2</c:v>
                </c:pt>
                <c:pt idx="7">
                  <c:v>1.5127820585899258E-2</c:v>
                </c:pt>
                <c:pt idx="8">
                  <c:v>1.2601657363020293E-2</c:v>
                </c:pt>
                <c:pt idx="9">
                  <c:v>1.0727085989264839E-2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'de.4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'de.4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0.29892134052533298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figs'!$J$2:$J$11</c:f>
              <c:numCache>
                <c:formatCode>General</c:formatCode>
                <c:ptCount val="10"/>
                <c:pt idx="0">
                  <c:v>-8.8422948894631245E-2</c:v>
                </c:pt>
                <c:pt idx="1">
                  <c:v>-9.0769370618077355E-2</c:v>
                </c:pt>
                <c:pt idx="2">
                  <c:v>-7.4877932227136193E-2</c:v>
                </c:pt>
                <c:pt idx="3">
                  <c:v>-4.2059961240310563E-2</c:v>
                </c:pt>
                <c:pt idx="4">
                  <c:v>-1.9294079201250355E-2</c:v>
                </c:pt>
                <c:pt idx="5">
                  <c:v>-5.7138975676674607E-3</c:v>
                </c:pt>
                <c:pt idx="6">
                  <c:v>-2.100923448714449E-3</c:v>
                </c:pt>
                <c:pt idx="7">
                  <c:v>-7.4536385985891603E-4</c:v>
                </c:pt>
                <c:pt idx="8">
                  <c:v>-1.8448980379498893E-4</c:v>
                </c:pt>
                <c:pt idx="9">
                  <c:v>-6.363767288997997E-5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'de.4 figs'!$K$1</c:f>
              <c:strCache>
                <c:ptCount val="1"/>
                <c:pt idx="0">
                  <c:v>Vel0ab.1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'de.4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0.29892134052533298</c:v>
                </c:pt>
                <c:pt idx="2">
                  <c:v>0.2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figs'!$K$2:$K$11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'de.4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'de.4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9.9044060000000003E-2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figs'!$E$12:$E$21</c:f>
              <c:numCache>
                <c:formatCode>General</c:formatCode>
                <c:ptCount val="10"/>
                <c:pt idx="0">
                  <c:v>0.27979158988435571</c:v>
                </c:pt>
                <c:pt idx="1">
                  <c:v>0.60285758361700181</c:v>
                </c:pt>
                <c:pt idx="2">
                  <c:v>0.8061165222923109</c:v>
                </c:pt>
                <c:pt idx="3">
                  <c:v>0.80865264741703347</c:v>
                </c:pt>
                <c:pt idx="4">
                  <c:v>0.96706721887599201</c:v>
                </c:pt>
                <c:pt idx="5">
                  <c:v>1.1014289058900448</c:v>
                </c:pt>
                <c:pt idx="6">
                  <c:v>1.1336817448567198</c:v>
                </c:pt>
                <c:pt idx="7">
                  <c:v>1.1014609583056121</c:v>
                </c:pt>
                <c:pt idx="8">
                  <c:v>0.96706372033641608</c:v>
                </c:pt>
                <c:pt idx="9">
                  <c:v>0.81413014650091264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'de.4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'de.4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9.9044060000000003E-2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figs'!$F$12:$F$21</c:f>
              <c:numCache>
                <c:formatCode>General</c:formatCode>
                <c:ptCount val="10"/>
                <c:pt idx="0">
                  <c:v>0.22159697946972279</c:v>
                </c:pt>
                <c:pt idx="1">
                  <c:v>0.38267311755493844</c:v>
                </c:pt>
                <c:pt idx="2">
                  <c:v>0.41604950932108997</c:v>
                </c:pt>
                <c:pt idx="3">
                  <c:v>0.41605513078259748</c:v>
                </c:pt>
                <c:pt idx="4">
                  <c:v>0.3911530489426927</c:v>
                </c:pt>
                <c:pt idx="5">
                  <c:v>0.30657272588559553</c:v>
                </c:pt>
                <c:pt idx="6">
                  <c:v>0.23068111466453542</c:v>
                </c:pt>
                <c:pt idx="7">
                  <c:v>0.16119737733520439</c:v>
                </c:pt>
                <c:pt idx="8">
                  <c:v>9.087140043990731E-2</c:v>
                </c:pt>
                <c:pt idx="9">
                  <c:v>5.5139619303505763E-2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'de.4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'de.4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9.9044060000000003E-2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figs'!$G$12:$G$21</c:f>
              <c:numCache>
                <c:formatCode>General</c:formatCode>
                <c:ptCount val="10"/>
                <c:pt idx="0">
                  <c:v>2.712754559817826E-2</c:v>
                </c:pt>
                <c:pt idx="1">
                  <c:v>1.3738283706780652E-3</c:v>
                </c:pt>
                <c:pt idx="2">
                  <c:v>-1.6577611646342805E-2</c:v>
                </c:pt>
                <c:pt idx="3">
                  <c:v>-1.6771384147295787E-2</c:v>
                </c:pt>
                <c:pt idx="4">
                  <c:v>-2.6332721566085321E-2</c:v>
                </c:pt>
                <c:pt idx="5">
                  <c:v>-2.7958094624811941E-2</c:v>
                </c:pt>
                <c:pt idx="6">
                  <c:v>-2.3975662659546648E-2</c:v>
                </c:pt>
                <c:pt idx="7">
                  <c:v>-1.8352377447026155E-2</c:v>
                </c:pt>
                <c:pt idx="8">
                  <c:v>-1.1269753992845945E-2</c:v>
                </c:pt>
                <c:pt idx="9">
                  <c:v>-7.1732218012941443E-3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'de.4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'de.4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9.9044060000000003E-2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figs'!$H$12:$H$21</c:f>
              <c:numCache>
                <c:formatCode>General</c:formatCode>
                <c:ptCount val="10"/>
                <c:pt idx="0">
                  <c:v>-0.25041208601122567</c:v>
                </c:pt>
                <c:pt idx="1">
                  <c:v>-0.26576935296823112</c:v>
                </c:pt>
                <c:pt idx="2">
                  <c:v>-0.18805332330339447</c:v>
                </c:pt>
                <c:pt idx="3">
                  <c:v>-0.18684808194187644</c:v>
                </c:pt>
                <c:pt idx="4">
                  <c:v>-0.10171924057336507</c:v>
                </c:pt>
                <c:pt idx="5">
                  <c:v>-3.8915542649465285E-3</c:v>
                </c:pt>
                <c:pt idx="6">
                  <c:v>5.2345823449195139E-2</c:v>
                </c:pt>
                <c:pt idx="7">
                  <c:v>9.4094575744276668E-2</c:v>
                </c:pt>
                <c:pt idx="8">
                  <c:v>0.13125899424367229</c:v>
                </c:pt>
                <c:pt idx="9">
                  <c:v>0.14919271884713853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'de.4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'de.4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9.9044060000000003E-2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figs'!$I$12:$I$21</c:f>
              <c:numCache>
                <c:formatCode>General</c:formatCode>
                <c:ptCount val="10"/>
                <c:pt idx="0">
                  <c:v>-0.3168542911339669</c:v>
                </c:pt>
                <c:pt idx="1">
                  <c:v>-0.32842661132354262</c:v>
                </c:pt>
                <c:pt idx="2">
                  <c:v>-0.25163928603110008</c:v>
                </c:pt>
                <c:pt idx="3">
                  <c:v>-0.25045934647509477</c:v>
                </c:pt>
                <c:pt idx="4">
                  <c:v>-0.16769956249198928</c:v>
                </c:pt>
                <c:pt idx="5">
                  <c:v>-7.4103560008415462E-2</c:v>
                </c:pt>
                <c:pt idx="6">
                  <c:v>-2.1324603408056822E-2</c:v>
                </c:pt>
                <c:pt idx="7">
                  <c:v>1.7065116365492364E-2</c:v>
                </c:pt>
                <c:pt idx="8">
                  <c:v>5.0269292198806263E-2</c:v>
                </c:pt>
                <c:pt idx="9">
                  <c:v>6.5727920284261623E-2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'de.4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'de.4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9.9044060000000003E-2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figs'!$J$12:$J$21</c:f>
              <c:numCache>
                <c:formatCode>General</c:formatCode>
                <c:ptCount val="10"/>
                <c:pt idx="0">
                  <c:v>-0.3832964962567082</c:v>
                </c:pt>
                <c:pt idx="1">
                  <c:v>-0.39108386967885428</c:v>
                </c:pt>
                <c:pt idx="2">
                  <c:v>-0.31522524875880575</c:v>
                </c:pt>
                <c:pt idx="3">
                  <c:v>-0.31407061100831307</c:v>
                </c:pt>
                <c:pt idx="4">
                  <c:v>-0.23367988441061355</c:v>
                </c:pt>
                <c:pt idx="5">
                  <c:v>-0.14431556575188439</c:v>
                </c:pt>
                <c:pt idx="6">
                  <c:v>-9.4995030265308783E-2</c:v>
                </c:pt>
                <c:pt idx="7">
                  <c:v>-5.9964343013291926E-2</c:v>
                </c:pt>
                <c:pt idx="8">
                  <c:v>-3.0720409846059747E-2</c:v>
                </c:pt>
                <c:pt idx="9">
                  <c:v>-1.7736878278615288E-2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'de.4 figs'!$K$1</c:f>
              <c:strCache>
                <c:ptCount val="1"/>
                <c:pt idx="0">
                  <c:v>Vel0ab.1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'de.4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9.9044060000000003E-2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figs'!$K$12:$K$21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N=80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'de.4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'de.4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2.6956900000000002E-3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figs'!$E$22:$E$31</c:f>
              <c:numCache>
                <c:formatCode>General</c:formatCode>
                <c:ptCount val="10"/>
                <c:pt idx="0">
                  <c:v>0.30090060170320987</c:v>
                </c:pt>
                <c:pt idx="1">
                  <c:v>0.69727868752232669</c:v>
                </c:pt>
                <c:pt idx="2">
                  <c:v>0.99454268303020432</c:v>
                </c:pt>
                <c:pt idx="3">
                  <c:v>1.2879515431985158</c:v>
                </c:pt>
                <c:pt idx="4">
                  <c:v>1.667370182036233</c:v>
                </c:pt>
                <c:pt idx="5">
                  <c:v>1.9463224637752461</c:v>
                </c:pt>
                <c:pt idx="6">
                  <c:v>2.2171885796651605</c:v>
                </c:pt>
                <c:pt idx="7">
                  <c:v>2.4511843861426033</c:v>
                </c:pt>
                <c:pt idx="8">
                  <c:v>2.5616227156992011</c:v>
                </c:pt>
                <c:pt idx="9">
                  <c:v>2.8112520129884242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'de.4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'de.4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2.6956900000000002E-3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figs'!$F$22:$F$31</c:f>
              <c:numCache>
                <c:formatCode>General</c:formatCode>
                <c:ptCount val="10"/>
                <c:pt idx="0">
                  <c:v>0.29985028290741561</c:v>
                </c:pt>
                <c:pt idx="1">
                  <c:v>0.6855764876155751</c:v>
                </c:pt>
                <c:pt idx="2">
                  <c:v>0.95892584256144953</c:v>
                </c:pt>
                <c:pt idx="3">
                  <c:v>1.2050877298482749</c:v>
                </c:pt>
                <c:pt idx="4">
                  <c:v>1.470025703180593</c:v>
                </c:pt>
                <c:pt idx="5">
                  <c:v>1.6119540728699495</c:v>
                </c:pt>
                <c:pt idx="6">
                  <c:v>1.6958524548234459</c:v>
                </c:pt>
                <c:pt idx="7">
                  <c:v>1.7196509428752424</c:v>
                </c:pt>
                <c:pt idx="8">
                  <c:v>1.7142462561185352</c:v>
                </c:pt>
                <c:pt idx="9">
                  <c:v>1.6621646947970858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'de.4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'de.4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2.6956900000000002E-3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figs'!$G$22:$G$31</c:f>
              <c:numCache>
                <c:formatCode>General</c:formatCode>
                <c:ptCount val="10"/>
                <c:pt idx="0">
                  <c:v>0.16432575259550947</c:v>
                </c:pt>
                <c:pt idx="1">
                  <c:v>0.17230579457944145</c:v>
                </c:pt>
                <c:pt idx="2">
                  <c:v>0.10900313717352816</c:v>
                </c:pt>
                <c:pt idx="3">
                  <c:v>2.9155947799617721E-2</c:v>
                </c:pt>
                <c:pt idx="4">
                  <c:v>-6.8680263888026283E-2</c:v>
                </c:pt>
                <c:pt idx="5">
                  <c:v>-0.12511968485388725</c:v>
                </c:pt>
                <c:pt idx="6">
                  <c:v>-0.16305554363854219</c:v>
                </c:pt>
                <c:pt idx="7">
                  <c:v>-0.18172677760396344</c:v>
                </c:pt>
                <c:pt idx="8">
                  <c:v>-0.18614549444382311</c:v>
                </c:pt>
                <c:pt idx="9">
                  <c:v>-0.18667105455485719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'de.4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'de.4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2.6956900000000002E-3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figs'!$H$22:$H$31</c:f>
              <c:numCache>
                <c:formatCode>General</c:formatCode>
                <c:ptCount val="10"/>
                <c:pt idx="0">
                  <c:v>-1.1094225309297976</c:v>
                </c:pt>
                <c:pt idx="1">
                  <c:v>-1.4102667684784833</c:v>
                </c:pt>
                <c:pt idx="2">
                  <c:v>-1.2873192552427277</c:v>
                </c:pt>
                <c:pt idx="3">
                  <c:v>-1.0864786408574691</c:v>
                </c:pt>
                <c:pt idx="4">
                  <c:v>-0.80758394807052114</c:v>
                </c:pt>
                <c:pt idx="5">
                  <c:v>-0.61384903070494312</c:v>
                </c:pt>
                <c:pt idx="6">
                  <c:v>-0.44161643951948215</c:v>
                </c:pt>
                <c:pt idx="7">
                  <c:v>-0.30654376931086152</c:v>
                </c:pt>
                <c:pt idx="8">
                  <c:v>-0.2472071149034199</c:v>
                </c:pt>
                <c:pt idx="9">
                  <c:v>-0.12321171829961475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'de.4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'de.4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2.6956900000000002E-3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figs'!$I$22:$I$31</c:f>
              <c:numCache>
                <c:formatCode>General</c:formatCode>
                <c:ptCount val="10"/>
                <c:pt idx="0">
                  <c:v>-1.2857129225918662</c:v>
                </c:pt>
                <c:pt idx="1">
                  <c:v>-1.5608057312460439</c:v>
                </c:pt>
                <c:pt idx="2">
                  <c:v>-1.4299356353412733</c:v>
                </c:pt>
                <c:pt idx="3">
                  <c:v>-1.2261510432420053</c:v>
                </c:pt>
                <c:pt idx="4">
                  <c:v>-0.94820654906814683</c:v>
                </c:pt>
                <c:pt idx="5">
                  <c:v>-0.75767953163414536</c:v>
                </c:pt>
                <c:pt idx="6">
                  <c:v>-0.59015483799953294</c:v>
                </c:pt>
                <c:pt idx="7">
                  <c:v>-0.46021539321909122</c:v>
                </c:pt>
                <c:pt idx="8">
                  <c:v>-0.40360702821453276</c:v>
                </c:pt>
                <c:pt idx="9">
                  <c:v>-0.28643368184532519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'de.4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'de.4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2.6956900000000002E-3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figs'!$J$22:$J$31</c:f>
              <c:numCache>
                <c:formatCode>General</c:formatCode>
                <c:ptCount val="10"/>
                <c:pt idx="0">
                  <c:v>-1.4620033142539344</c:v>
                </c:pt>
                <c:pt idx="1">
                  <c:v>-1.7113446940136046</c:v>
                </c:pt>
                <c:pt idx="2">
                  <c:v>-1.5725520154398192</c:v>
                </c:pt>
                <c:pt idx="3">
                  <c:v>-1.3658234456265419</c:v>
                </c:pt>
                <c:pt idx="4">
                  <c:v>-1.088829150065773</c:v>
                </c:pt>
                <c:pt idx="5">
                  <c:v>-0.90151003256334794</c:v>
                </c:pt>
                <c:pt idx="6">
                  <c:v>-0.73869323647958374</c:v>
                </c:pt>
                <c:pt idx="7">
                  <c:v>-0.61388701712732086</c:v>
                </c:pt>
                <c:pt idx="8">
                  <c:v>-0.56000694152564545</c:v>
                </c:pt>
                <c:pt idx="9">
                  <c:v>-0.44965564539103564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'de.4 figs'!$K$1</c:f>
              <c:strCache>
                <c:ptCount val="1"/>
                <c:pt idx="0">
                  <c:v>Vel0ab.1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'de.4 figs'!$C$22:$C$31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2.6956900000000002E-3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'de.4 figs'!$K$22:$K$31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N=320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'de.4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'de.4 figs'!$C$32:$C$40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'de.4 figs'!$E$32:$E$40</c:f>
              <c:numCache>
                <c:formatCode>General</c:formatCode>
                <c:ptCount val="9"/>
                <c:pt idx="0">
                  <c:v>0.30102999566273092</c:v>
                </c:pt>
                <c:pt idx="1">
                  <c:v>0.69897000413671595</c:v>
                </c:pt>
                <c:pt idx="2">
                  <c:v>0.99999999764305114</c:v>
                </c:pt>
                <c:pt idx="3">
                  <c:v>1.3010299792288982</c:v>
                </c:pt>
                <c:pt idx="4">
                  <c:v>1.6989698733123235</c:v>
                </c:pt>
                <c:pt idx="5">
                  <c:v>1.9999995108174415</c:v>
                </c:pt>
                <c:pt idx="6">
                  <c:v>2.3010284388994924</c:v>
                </c:pt>
                <c:pt idx="7">
                  <c:v>2.6989640597714581</c:v>
                </c:pt>
                <c:pt idx="8">
                  <c:v>2.9999854117903912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'de.4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'de.4 figs'!$C$32:$C$40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'de.4 figs'!$F$32:$F$40</c:f>
              <c:numCache>
                <c:formatCode>General</c:formatCode>
                <c:ptCount val="9"/>
                <c:pt idx="0">
                  <c:v>0.30102999562950722</c:v>
                </c:pt>
                <c:pt idx="1">
                  <c:v>0.69896999957498196</c:v>
                </c:pt>
                <c:pt idx="2">
                  <c:v>0.99999994760717226</c:v>
                </c:pt>
                <c:pt idx="3">
                  <c:v>1.3010296499642739</c:v>
                </c:pt>
                <c:pt idx="4">
                  <c:v>1.6989673962212488</c:v>
                </c:pt>
                <c:pt idx="5">
                  <c:v>1.9999905628825123</c:v>
                </c:pt>
                <c:pt idx="6">
                  <c:v>2.3010006784578616</c:v>
                </c:pt>
                <c:pt idx="7">
                  <c:v>2.6988605560990409</c:v>
                </c:pt>
                <c:pt idx="8">
                  <c:v>2.9997343820597799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'de.4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'de.4 figs'!$C$32:$C$40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'de.4 figs'!$G$32:$G$40</c:f>
              <c:numCache>
                <c:formatCode>General</c:formatCode>
                <c:ptCount val="9"/>
                <c:pt idx="0">
                  <c:v>0.298719468554762</c:v>
                </c:pt>
                <c:pt idx="1">
                  <c:v>0.6662283622040176</c:v>
                </c:pt>
                <c:pt idx="2">
                  <c:v>0.89642018796591916</c:v>
                </c:pt>
                <c:pt idx="3">
                  <c:v>1.0629139699411339</c:v>
                </c:pt>
                <c:pt idx="4">
                  <c:v>1.1626966495218212</c:v>
                </c:pt>
                <c:pt idx="5">
                  <c:v>1.1419373612029355</c:v>
                </c:pt>
                <c:pt idx="6">
                  <c:v>1.0437450393918932</c:v>
                </c:pt>
                <c:pt idx="7">
                  <c:v>0.81620240471067174</c:v>
                </c:pt>
                <c:pt idx="8">
                  <c:v>0.59137396004167675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'de.4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'de.4 figs'!$C$32:$C$40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'de.4 figs'!$H$32:$H$40</c:f>
              <c:numCache>
                <c:formatCode>General</c:formatCode>
                <c:ptCount val="9"/>
                <c:pt idx="0">
                  <c:v>-4.315284905705429</c:v>
                </c:pt>
                <c:pt idx="1">
                  <c:v>-6.2592616074909584</c:v>
                </c:pt>
                <c:pt idx="2">
                  <c:v>-6.3757413343472971</c:v>
                </c:pt>
                <c:pt idx="3">
                  <c:v>-6.0946211209107037</c:v>
                </c:pt>
                <c:pt idx="4">
                  <c:v>-5.5263849505755447</c:v>
                </c:pt>
                <c:pt idx="5">
                  <c:v>-5.0701144736377879</c:v>
                </c:pt>
                <c:pt idx="6">
                  <c:v>-4.6302218162833766</c:v>
                </c:pt>
                <c:pt idx="7">
                  <c:v>-4.0914980694807044</c:v>
                </c:pt>
                <c:pt idx="8">
                  <c:v>-3.7185477072532023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'de.4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'de.4 figs'!$C$32:$C$40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'de.4 figs'!$I$32:$I$40</c:f>
              <c:numCache>
                <c:formatCode>General</c:formatCode>
                <c:ptCount val="9"/>
                <c:pt idx="0">
                  <c:v>-4.8923242683764503</c:v>
                </c:pt>
                <c:pt idx="1">
                  <c:v>-6.7562781511786492</c:v>
                </c:pt>
                <c:pt idx="2">
                  <c:v>-6.8367251675966934</c:v>
                </c:pt>
                <c:pt idx="3">
                  <c:v>-6.5296594209189154</c:v>
                </c:pt>
                <c:pt idx="4">
                  <c:v>-5.936916474660082</c:v>
                </c:pt>
                <c:pt idx="5">
                  <c:v>-5.4673118884948231</c:v>
                </c:pt>
                <c:pt idx="6">
                  <c:v>-5.0174425009304642</c:v>
                </c:pt>
                <c:pt idx="7">
                  <c:v>-4.4695861613098895</c:v>
                </c:pt>
                <c:pt idx="8">
                  <c:v>-4.0922147327839911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'de.4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'de.4 figs'!$C$32:$C$40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'de.4 figs'!$J$32:$J$40</c:f>
              <c:numCache>
                <c:formatCode>General</c:formatCode>
                <c:ptCount val="9"/>
                <c:pt idx="0">
                  <c:v>-5.4693636310474698</c:v>
                </c:pt>
                <c:pt idx="1">
                  <c:v>-7.2532946948663408</c:v>
                </c:pt>
                <c:pt idx="2">
                  <c:v>-7.2977090008460896</c:v>
                </c:pt>
                <c:pt idx="3">
                  <c:v>-6.9646977209271279</c:v>
                </c:pt>
                <c:pt idx="4">
                  <c:v>-6.3474479987446211</c:v>
                </c:pt>
                <c:pt idx="5">
                  <c:v>-5.8645093033518583</c:v>
                </c:pt>
                <c:pt idx="6">
                  <c:v>-5.4046631855775518</c:v>
                </c:pt>
                <c:pt idx="7">
                  <c:v>-4.8476742531390737</c:v>
                </c:pt>
                <c:pt idx="8">
                  <c:v>-4.4658817583147812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'de.4 figs'!$K$1</c:f>
              <c:strCache>
                <c:ptCount val="1"/>
                <c:pt idx="0">
                  <c:v>Vel0ab.1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'de.4 figs'!$C$32:$C$40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'de.4 figs'!$K$32:$K$40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'de.8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'de.8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0.155168173336934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figs'!$E$2:$E$11</c:f>
              <c:numCache>
                <c:formatCode>General</c:formatCode>
                <c:ptCount val="10"/>
                <c:pt idx="0">
                  <c:v>0.1863536466208793</c:v>
                </c:pt>
                <c:pt idx="1">
                  <c:v>0.33523870373529691</c:v>
                </c:pt>
                <c:pt idx="2">
                  <c:v>0.3433510104780686</c:v>
                </c:pt>
                <c:pt idx="3">
                  <c:v>0.31992317043316415</c:v>
                </c:pt>
                <c:pt idx="4">
                  <c:v>0.21389981275963388</c:v>
                </c:pt>
                <c:pt idx="5">
                  <c:v>7.5467730137675548E-2</c:v>
                </c:pt>
                <c:pt idx="6">
                  <c:v>2.6264251221854079E-2</c:v>
                </c:pt>
                <c:pt idx="7">
                  <c:v>8.1982009966007231E-3</c:v>
                </c:pt>
                <c:pt idx="8">
                  <c:v>1.6743402277329092E-3</c:v>
                </c:pt>
                <c:pt idx="9">
                  <c:v>5.0550353428395218E-4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'de.8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'de.8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0.155168173336934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figs'!$F$2:$F$11</c:f>
              <c:numCache>
                <c:formatCode>General</c:formatCode>
                <c:ptCount val="10"/>
                <c:pt idx="0">
                  <c:v>3.6351143641959544E-2</c:v>
                </c:pt>
                <c:pt idx="1">
                  <c:v>-3.3012409178156399E-3</c:v>
                </c:pt>
                <c:pt idx="2">
                  <c:v>-1.7955250598255423E-2</c:v>
                </c:pt>
                <c:pt idx="3">
                  <c:v>-3.3870055931272125E-2</c:v>
                </c:pt>
                <c:pt idx="4">
                  <c:v>-3.1727554087204804E-2</c:v>
                </c:pt>
                <c:pt idx="5">
                  <c:v>-1.2313962935731906E-2</c:v>
                </c:pt>
                <c:pt idx="6">
                  <c:v>-4.2407419433741315E-3</c:v>
                </c:pt>
                <c:pt idx="7">
                  <c:v>-1.2571482579775296E-3</c:v>
                </c:pt>
                <c:pt idx="8">
                  <c:v>-2.2832802907211134E-4</c:v>
                </c:pt>
                <c:pt idx="9">
                  <c:v>-6.136470595996047E-5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'de.8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'de.8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0.155168173336934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figs'!$G$2:$G$11</c:f>
              <c:numCache>
                <c:formatCode>General</c:formatCode>
                <c:ptCount val="10"/>
                <c:pt idx="0">
                  <c:v>-0.10417431267609353</c:v>
                </c:pt>
                <c:pt idx="1">
                  <c:v>-0.18542874009515053</c:v>
                </c:pt>
                <c:pt idx="2">
                  <c:v>-0.18252415079127976</c:v>
                </c:pt>
                <c:pt idx="3">
                  <c:v>-0.15666038708589977</c:v>
                </c:pt>
                <c:pt idx="4">
                  <c:v>-9.3106529555276776E-2</c:v>
                </c:pt>
                <c:pt idx="5">
                  <c:v>-3.0791088295402117E-2</c:v>
                </c:pt>
                <c:pt idx="6">
                  <c:v>-1.083773082538479E-2</c:v>
                </c:pt>
                <c:pt idx="7">
                  <c:v>-3.492983555586116E-3</c:v>
                </c:pt>
                <c:pt idx="8">
                  <c:v>-7.458430116903756E-4</c:v>
                </c:pt>
                <c:pt idx="9">
                  <c:v>-2.3145914355064418E-4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'de.8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'de.8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0.155168173336934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figs'!$H$2:$H$11</c:f>
              <c:numCache>
                <c:formatCode>General</c:formatCode>
                <c:ptCount val="10"/>
                <c:pt idx="0">
                  <c:v>-0.17115776502619134</c:v>
                </c:pt>
                <c:pt idx="1">
                  <c:v>-0.2125775330909038</c:v>
                </c:pt>
                <c:pt idx="2">
                  <c:v>-0.18518432742202159</c:v>
                </c:pt>
                <c:pt idx="3">
                  <c:v>-0.12223117307592801</c:v>
                </c:pt>
                <c:pt idx="4">
                  <c:v>-2.3072892913248572E-2</c:v>
                </c:pt>
                <c:pt idx="5">
                  <c:v>5.0956806614175731E-2</c:v>
                </c:pt>
                <c:pt idx="6">
                  <c:v>6.5909985284376138E-2</c:v>
                </c:pt>
                <c:pt idx="7">
                  <c:v>6.4081319199109407E-2</c:v>
                </c:pt>
                <c:pt idx="8">
                  <c:v>5.3879962516495843E-2</c:v>
                </c:pt>
                <c:pt idx="9">
                  <c:v>4.5603731888636347E-2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'de.8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'de.8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0.155168173336934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figs'!$I$2:$I$11</c:f>
              <c:numCache>
                <c:formatCode>General</c:formatCode>
                <c:ptCount val="10"/>
                <c:pt idx="0">
                  <c:v>-0.22600326567659415</c:v>
                </c:pt>
                <c:pt idx="1">
                  <c:v>-0.26989580564583915</c:v>
                </c:pt>
                <c:pt idx="2">
                  <c:v>-0.24227919209346471</c:v>
                </c:pt>
                <c:pt idx="3">
                  <c:v>-0.17825898072119822</c:v>
                </c:pt>
                <c:pt idx="4">
                  <c:v>-7.5865854973032276E-2</c:v>
                </c:pt>
                <c:pt idx="5">
                  <c:v>4.7147983264946916E-3</c:v>
                </c:pt>
                <c:pt idx="6">
                  <c:v>2.5529013430386209E-2</c:v>
                </c:pt>
                <c:pt idx="7">
                  <c:v>2.9572774372411414E-2</c:v>
                </c:pt>
                <c:pt idx="8">
                  <c:v>2.6386480872654629E-2</c:v>
                </c:pt>
                <c:pt idx="9">
                  <c:v>2.2623509901247438E-2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'de.8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'de.8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0.155168173336934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figs'!$J$2:$J$11</c:f>
              <c:numCache>
                <c:formatCode>General</c:formatCode>
                <c:ptCount val="10"/>
                <c:pt idx="0">
                  <c:v>-0.28084876632699707</c:v>
                </c:pt>
                <c:pt idx="1">
                  <c:v>-0.32721407820077464</c:v>
                </c:pt>
                <c:pt idx="2">
                  <c:v>-0.29937405676490786</c:v>
                </c:pt>
                <c:pt idx="3">
                  <c:v>-0.23428678836646855</c:v>
                </c:pt>
                <c:pt idx="4">
                  <c:v>-0.12865881703281598</c:v>
                </c:pt>
                <c:pt idx="5">
                  <c:v>-4.1527209961186362E-2</c:v>
                </c:pt>
                <c:pt idx="6">
                  <c:v>-1.4851958423603732E-2</c:v>
                </c:pt>
                <c:pt idx="7">
                  <c:v>-4.9357704542865744E-3</c:v>
                </c:pt>
                <c:pt idx="8">
                  <c:v>-1.1070007711865859E-3</c:v>
                </c:pt>
                <c:pt idx="9">
                  <c:v>-3.5671208614147559E-4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'de.8 figs'!$K$1</c:f>
              <c:strCache>
                <c:ptCount val="1"/>
                <c:pt idx="0">
                  <c:v>Vel0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'de.8 figs'!$C$2:$C$11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0.155168173336934</c:v>
                </c:pt>
                <c:pt idx="3">
                  <c:v>0.1</c:v>
                </c:pt>
                <c:pt idx="4">
                  <c:v>0.05</c:v>
                </c:pt>
                <c:pt idx="5">
                  <c:v>0.02</c:v>
                </c:pt>
                <c:pt idx="6">
                  <c:v>0.01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figs'!$K$2:$K$11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N=20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'de.8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'de.8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6.7208930000000004E-3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figs'!$E$12:$E$21</c:f>
              <c:numCache>
                <c:formatCode>General</c:formatCode>
                <c:ptCount val="10"/>
                <c:pt idx="0">
                  <c:v>0.29758436216096185</c:v>
                </c:pt>
                <c:pt idx="1">
                  <c:v>0.67707631994906115</c:v>
                </c:pt>
                <c:pt idx="2">
                  <c:v>0.94300702100410172</c:v>
                </c:pt>
                <c:pt idx="3">
                  <c:v>1.1767517345634033</c:v>
                </c:pt>
                <c:pt idx="4">
                  <c:v>1.40775063885042</c:v>
                </c:pt>
                <c:pt idx="5">
                  <c:v>1.5003710882937358</c:v>
                </c:pt>
                <c:pt idx="6">
                  <c:v>1.5151314833977974</c:v>
                </c:pt>
                <c:pt idx="7">
                  <c:v>1.5068511427151812</c:v>
                </c:pt>
                <c:pt idx="8">
                  <c:v>1.3794585277536291</c:v>
                </c:pt>
                <c:pt idx="9">
                  <c:v>1.1971900897790839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'de.8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'de.8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6.7208930000000004E-3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figs'!$F$12:$F$21</c:f>
              <c:numCache>
                <c:formatCode>General</c:formatCode>
                <c:ptCount val="10"/>
                <c:pt idx="0">
                  <c:v>0.16629639754781472</c:v>
                </c:pt>
                <c:pt idx="1">
                  <c:v>0.19145071548515102</c:v>
                </c:pt>
                <c:pt idx="2">
                  <c:v>0.11943923083007302</c:v>
                </c:pt>
                <c:pt idx="3">
                  <c:v>1.6657191863912901E-2</c:v>
                </c:pt>
                <c:pt idx="4">
                  <c:v>-0.1092331451947105</c:v>
                </c:pt>
                <c:pt idx="5">
                  <c:v>-0.17184744335449109</c:v>
                </c:pt>
                <c:pt idx="6">
                  <c:v>-0.1921246332953585</c:v>
                </c:pt>
                <c:pt idx="7">
                  <c:v>-0.20011341129004945</c:v>
                </c:pt>
                <c:pt idx="8">
                  <c:v>-0.19302818092349669</c:v>
                </c:pt>
                <c:pt idx="9">
                  <c:v>-0.16611742188685508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'de.8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'de.8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6.7208930000000004E-3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figs'!$G$12:$G$21</c:f>
              <c:numCache>
                <c:formatCode>General</c:formatCode>
                <c:ptCount val="10"/>
                <c:pt idx="0">
                  <c:v>-0.27242973139360771</c:v>
                </c:pt>
                <c:pt idx="1">
                  <c:v>-0.64952004463909963</c:v>
                </c:pt>
                <c:pt idx="2">
                  <c:v>-0.79398782179482641</c:v>
                </c:pt>
                <c:pt idx="3">
                  <c:v>-0.82430659980319965</c:v>
                </c:pt>
                <c:pt idx="4">
                  <c:v>-0.74768553789644376</c:v>
                </c:pt>
                <c:pt idx="5">
                  <c:v>-0.64343269812946802</c:v>
                </c:pt>
                <c:pt idx="6">
                  <c:v>-0.57659332841499655</c:v>
                </c:pt>
                <c:pt idx="7">
                  <c:v>-0.52606995506821841</c:v>
                </c:pt>
                <c:pt idx="8">
                  <c:v>-0.37633908665411675</c:v>
                </c:pt>
                <c:pt idx="9">
                  <c:v>-0.27804446353927958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'de.8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'de.8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6.7208930000000004E-3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figs'!$H$12:$H$21</c:f>
              <c:numCache>
                <c:formatCode>General</c:formatCode>
                <c:ptCount val="10"/>
                <c:pt idx="0">
                  <c:v>-0.89856354471181044</c:v>
                </c:pt>
                <c:pt idx="1">
                  <c:v>-1.2387149648636371</c:v>
                </c:pt>
                <c:pt idx="2">
                  <c:v>-1.1560329787082519</c:v>
                </c:pt>
                <c:pt idx="3">
                  <c:v>-0.97616167449876667</c:v>
                </c:pt>
                <c:pt idx="4">
                  <c:v>-0.7017545224720193</c:v>
                </c:pt>
                <c:pt idx="5">
                  <c:v>-0.50209702330628636</c:v>
                </c:pt>
                <c:pt idx="6">
                  <c:v>-0.39605916691590531</c:v>
                </c:pt>
                <c:pt idx="7">
                  <c:v>-0.32193255446258962</c:v>
                </c:pt>
                <c:pt idx="8">
                  <c:v>-0.12054528760234501</c:v>
                </c:pt>
                <c:pt idx="9">
                  <c:v>2.8218369162381074E-3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'de.8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'de.8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6.7208930000000004E-3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figs'!$I$12:$I$21</c:f>
              <c:numCache>
                <c:formatCode>General</c:formatCode>
                <c:ptCount val="10"/>
                <c:pt idx="0">
                  <c:v>-1.0484582138714227</c:v>
                </c:pt>
                <c:pt idx="1">
                  <c:v>-1.3769080422729798</c:v>
                </c:pt>
                <c:pt idx="2">
                  <c:v>-1.2902851688918098</c:v>
                </c:pt>
                <c:pt idx="3">
                  <c:v>-1.1090693461266701</c:v>
                </c:pt>
                <c:pt idx="4">
                  <c:v>-0.83575420296457048</c:v>
                </c:pt>
                <c:pt idx="5">
                  <c:v>-0.638523343406321</c:v>
                </c:pt>
                <c:pt idx="6">
                  <c:v>-0.53434218623301977</c:v>
                </c:pt>
                <c:pt idx="7">
                  <c:v>-0.46177265827482988</c:v>
                </c:pt>
                <c:pt idx="8">
                  <c:v>-0.26589605947434103</c:v>
                </c:pt>
                <c:pt idx="9">
                  <c:v>-0.14709859392315658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'de.8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'de.8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6.7208930000000004E-3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figs'!$J$12:$J$21</c:f>
              <c:numCache>
                <c:formatCode>General</c:formatCode>
                <c:ptCount val="10"/>
                <c:pt idx="0">
                  <c:v>-1.1983528830310348</c:v>
                </c:pt>
                <c:pt idx="1">
                  <c:v>-1.515101119682323</c:v>
                </c:pt>
                <c:pt idx="2">
                  <c:v>-1.4245373590753678</c:v>
                </c:pt>
                <c:pt idx="3">
                  <c:v>-1.2419770177545737</c:v>
                </c:pt>
                <c:pt idx="4">
                  <c:v>-0.96975388345712155</c:v>
                </c:pt>
                <c:pt idx="5">
                  <c:v>-0.77494966350635563</c:v>
                </c:pt>
                <c:pt idx="6">
                  <c:v>-0.67262520555013428</c:v>
                </c:pt>
                <c:pt idx="7">
                  <c:v>-0.60161276208707015</c:v>
                </c:pt>
                <c:pt idx="8">
                  <c:v>-0.41124683134633716</c:v>
                </c:pt>
                <c:pt idx="9">
                  <c:v>-0.29701902476255138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'de.8 figs'!$K$1</c:f>
              <c:strCache>
                <c:ptCount val="1"/>
                <c:pt idx="0">
                  <c:v>Vel0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'de.8 figs'!$C$12:$C$21</c:f>
              <c:numCache>
                <c:formatCode>General</c:formatCode>
                <c:ptCount val="10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6.7208930000000004E-3</c:v>
                </c:pt>
                <c:pt idx="7">
                  <c:v>5.0000000000000001E-3</c:v>
                </c:pt>
                <c:pt idx="8">
                  <c:v>2E-3</c:v>
                </c:pt>
                <c:pt idx="9">
                  <c:v>1E-3</c:v>
                </c:pt>
              </c:numCache>
            </c:numRef>
          </c:xVal>
          <c:yVal>
            <c:numRef>
              <c:f>'de.8 figs'!$K$12:$K$21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 = 80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'de.8 figs'!$E$1</c:f>
              <c:strCache>
                <c:ptCount val="1"/>
                <c:pt idx="0">
                  <c:v>d = 0.8</c:v>
                </c:pt>
              </c:strCache>
            </c:strRef>
          </c:tx>
          <c:spPr>
            <a:ln w="12700" cap="rnd">
              <a:solidFill>
                <a:srgbClr val="70AD47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19050">
                <a:solidFill>
                  <a:srgbClr val="70AD47"/>
                </a:solidFill>
              </a:ln>
              <a:effectLst/>
            </c:spPr>
          </c:marker>
          <c:xVal>
            <c:numRef>
              <c:f>'de.8 figs'!$C$22:$C$30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'de.8 figs'!$E$22:$E$30</c:f>
              <c:numCache>
                <c:formatCode>General</c:formatCode>
                <c:ptCount val="9"/>
                <c:pt idx="0">
                  <c:v>0.30102999375197775</c:v>
                </c:pt>
                <c:pt idx="1">
                  <c:v>0.6989699351504749</c:v>
                </c:pt>
                <c:pt idx="2">
                  <c:v>0.99999956353235364</c:v>
                </c:pt>
                <c:pt idx="3">
                  <c:v>1.3010280352396419</c:v>
                </c:pt>
                <c:pt idx="4">
                  <c:v>1.6989596141603196</c:v>
                </c:pt>
                <c:pt idx="5">
                  <c:v>1.9999689054494554</c:v>
                </c:pt>
                <c:pt idx="6">
                  <c:v>2.3009462779721219</c:v>
                </c:pt>
                <c:pt idx="7">
                  <c:v>2.6986972549496699</c:v>
                </c:pt>
                <c:pt idx="8">
                  <c:v>2.9993844663792841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23-429A-B0D7-395B0755AB9D}"/>
            </c:ext>
          </c:extLst>
        </c:ser>
        <c:ser>
          <c:idx val="1"/>
          <c:order val="1"/>
          <c:tx>
            <c:strRef>
              <c:f>'de.8 figs'!$F$1</c:f>
              <c:strCache>
                <c:ptCount val="1"/>
                <c:pt idx="0">
                  <c:v>d = 0.4</c:v>
                </c:pt>
              </c:strCache>
            </c:strRef>
          </c:tx>
          <c:spPr>
            <a:ln w="19050" cap="rnd">
              <a:solidFill>
                <a:srgbClr val="70AD47">
                  <a:lumMod val="75000"/>
                </a:srgbClr>
              </a:solidFill>
              <a:prstDash val="sysDash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70AD47">
                    <a:lumMod val="75000"/>
                  </a:srgbClr>
                </a:solidFill>
              </a:ln>
              <a:effectLst/>
            </c:spPr>
          </c:marker>
          <c:xVal>
            <c:numRef>
              <c:f>'de.8 figs'!$C$22:$C$30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'de.8 figs'!$F$22:$F$30</c:f>
              <c:numCache>
                <c:formatCode>General</c:formatCode>
                <c:ptCount val="9"/>
                <c:pt idx="0">
                  <c:v>0.29813285298128117</c:v>
                </c:pt>
                <c:pt idx="1">
                  <c:v>0.66506234710231726</c:v>
                </c:pt>
                <c:pt idx="2">
                  <c:v>0.89694255697122727</c:v>
                </c:pt>
                <c:pt idx="3">
                  <c:v>1.0664577719339037</c:v>
                </c:pt>
                <c:pt idx="4">
                  <c:v>1.1672753201149979</c:v>
                </c:pt>
                <c:pt idx="5">
                  <c:v>1.1401908754220065</c:v>
                </c:pt>
                <c:pt idx="6">
                  <c:v>1.0264893470500573</c:v>
                </c:pt>
                <c:pt idx="7">
                  <c:v>0.76398918206980171</c:v>
                </c:pt>
                <c:pt idx="8">
                  <c:v>0.50491024447570099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23-429A-B0D7-395B0755AB9D}"/>
            </c:ext>
          </c:extLst>
        </c:ser>
        <c:ser>
          <c:idx val="2"/>
          <c:order val="2"/>
          <c:tx>
            <c:strRef>
              <c:f>'de.8 figs'!$G$1</c:f>
              <c:strCache>
                <c:ptCount val="1"/>
                <c:pt idx="0">
                  <c:v>d = 0.2</c:v>
                </c:pt>
              </c:strCache>
            </c:strRef>
          </c:tx>
          <c:spPr>
            <a:ln w="25400" cap="rnd">
              <a:solidFill>
                <a:srgbClr val="70AD47">
                  <a:lumMod val="50000"/>
                </a:srgb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rgbClr val="70AD47">
                    <a:lumMod val="50000"/>
                  </a:srgbClr>
                </a:solidFill>
              </a:ln>
              <a:effectLst/>
            </c:spPr>
          </c:marker>
          <c:xVal>
            <c:numRef>
              <c:f>'de.8 figs'!$C$22:$C$30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'de.8 figs'!$G$22:$G$30</c:f>
              <c:numCache>
                <c:formatCode>General</c:formatCode>
                <c:ptCount val="9"/>
                <c:pt idx="0">
                  <c:v>-7.5690450732164016E-2</c:v>
                </c:pt>
                <c:pt idx="1">
                  <c:v>-0.82215982952625066</c:v>
                </c:pt>
                <c:pt idx="2">
                  <c:v>-1.5623011230641484</c:v>
                </c:pt>
                <c:pt idx="3">
                  <c:v>-2.2623611249089328</c:v>
                </c:pt>
                <c:pt idx="4">
                  <c:v>-2.9782969329737599</c:v>
                </c:pt>
                <c:pt idx="5">
                  <c:v>-3.3264330461291918</c:v>
                </c:pt>
                <c:pt idx="6">
                  <c:v>-3.5177922971687057</c:v>
                </c:pt>
                <c:pt idx="7">
                  <c:v>-3.5749362387127861</c:v>
                </c:pt>
                <c:pt idx="8">
                  <c:v>-3.5085994725676461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23-429A-B0D7-395B0755AB9D}"/>
            </c:ext>
          </c:extLst>
        </c:ser>
        <c:ser>
          <c:idx val="3"/>
          <c:order val="3"/>
          <c:tx>
            <c:strRef>
              <c:f>'de.8 figs'!$H$1</c:f>
              <c:strCache>
                <c:ptCount val="1"/>
                <c:pt idx="0">
                  <c:v>d = 0, bias 0.1</c:v>
                </c:pt>
              </c:strCache>
            </c:strRef>
          </c:tx>
          <c:spPr>
            <a:ln w="12700" cap="rnd">
              <a:solidFill>
                <a:srgbClr val="FF646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6464"/>
              </a:solidFill>
              <a:ln w="19050">
                <a:solidFill>
                  <a:srgbClr val="FF6464"/>
                </a:solidFill>
              </a:ln>
              <a:effectLst/>
            </c:spPr>
          </c:marker>
          <c:xVal>
            <c:numRef>
              <c:f>'de.8 figs'!$C$22:$C$30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'de.8 figs'!$H$22:$H$30</c:f>
              <c:numCache>
                <c:formatCode>General</c:formatCode>
                <c:ptCount val="9"/>
                <c:pt idx="0">
                  <c:v>-3.5891266556088608</c:v>
                </c:pt>
                <c:pt idx="1">
                  <c:v>-5.4077265564735164</c:v>
                </c:pt>
                <c:pt idx="2">
                  <c:v>-5.6025473678967943</c:v>
                </c:pt>
                <c:pt idx="3">
                  <c:v>-5.4204911775071114</c:v>
                </c:pt>
                <c:pt idx="4">
                  <c:v>-4.9690467424956237</c:v>
                </c:pt>
                <c:pt idx="5">
                  <c:v>-4.5831270567524571</c:v>
                </c:pt>
                <c:pt idx="6">
                  <c:v>-4.1987615366341489</c:v>
                </c:pt>
                <c:pt idx="7">
                  <c:v>-3.7143505553493017</c:v>
                </c:pt>
                <c:pt idx="8">
                  <c:v>-3.3708399864765681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23-429A-B0D7-395B0755AB9D}"/>
            </c:ext>
          </c:extLst>
        </c:ser>
        <c:ser>
          <c:idx val="4"/>
          <c:order val="4"/>
          <c:tx>
            <c:strRef>
              <c:f>'de.8 figs'!$I$1</c:f>
              <c:strCache>
                <c:ptCount val="1"/>
                <c:pt idx="0">
                  <c:v>d = 0, bias 0.05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x"/>
            <c:size val="5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'de.8 figs'!$C$22:$C$30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'de.8 figs'!$I$22:$I$30</c:f>
              <c:numCache>
                <c:formatCode>General</c:formatCode>
                <c:ptCount val="9"/>
                <c:pt idx="0">
                  <c:v>-4.0753962370077499</c:v>
                </c:pt>
                <c:pt idx="1">
                  <c:v>-5.843919167725562</c:v>
                </c:pt>
                <c:pt idx="2">
                  <c:v>-6.0152065770266319</c:v>
                </c:pt>
                <c:pt idx="3">
                  <c:v>-5.8158747699252658</c:v>
                </c:pt>
                <c:pt idx="4">
                  <c:v>-5.3479112983818435</c:v>
                </c:pt>
                <c:pt idx="5">
                  <c:v>-4.952965558567648</c:v>
                </c:pt>
                <c:pt idx="6">
                  <c:v>-4.5618781181072636</c:v>
                </c:pt>
                <c:pt idx="7">
                  <c:v>-4.0714388027977382</c:v>
                </c:pt>
                <c:pt idx="8">
                  <c:v>-3.7251672634968376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23-429A-B0D7-395B0755AB9D}"/>
            </c:ext>
          </c:extLst>
        </c:ser>
        <c:ser>
          <c:idx val="5"/>
          <c:order val="5"/>
          <c:tx>
            <c:strRef>
              <c:f>'de.8 figs'!$J$1</c:f>
              <c:strCache>
                <c:ptCount val="1"/>
                <c:pt idx="0">
                  <c:v>d = 0, no bias</c:v>
                </c:pt>
              </c:strCache>
            </c:strRef>
          </c:tx>
          <c:spPr>
            <a:ln w="2540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19050">
                <a:solidFill>
                  <a:srgbClr val="C00000"/>
                </a:solidFill>
              </a:ln>
              <a:effectLst/>
            </c:spPr>
          </c:marker>
          <c:xVal>
            <c:numRef>
              <c:f>'de.8 figs'!$C$22:$C$30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'de.8 figs'!$J$22:$J$30</c:f>
              <c:numCache>
                <c:formatCode>General</c:formatCode>
                <c:ptCount val="9"/>
                <c:pt idx="0">
                  <c:v>-4.5616658184066381</c:v>
                </c:pt>
                <c:pt idx="1">
                  <c:v>-6.2801117789776084</c:v>
                </c:pt>
                <c:pt idx="2">
                  <c:v>-6.4278657861564703</c:v>
                </c:pt>
                <c:pt idx="3">
                  <c:v>-6.2112583623434219</c:v>
                </c:pt>
                <c:pt idx="4">
                  <c:v>-5.7267758542680642</c:v>
                </c:pt>
                <c:pt idx="5">
                  <c:v>-5.3228040603828379</c:v>
                </c:pt>
                <c:pt idx="6">
                  <c:v>-4.9249946995803775</c:v>
                </c:pt>
                <c:pt idx="7">
                  <c:v>-4.4285270502461769</c:v>
                </c:pt>
                <c:pt idx="8">
                  <c:v>-4.0794945405171079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23-429A-B0D7-395B0755AB9D}"/>
            </c:ext>
          </c:extLst>
        </c:ser>
        <c:ser>
          <c:idx val="6"/>
          <c:order val="6"/>
          <c:tx>
            <c:strRef>
              <c:f>'de.8 figs'!$K$1</c:f>
              <c:strCache>
                <c:ptCount val="1"/>
                <c:pt idx="0">
                  <c:v>Vel0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'de.8 figs'!$C$22:$C$30</c:f>
              <c:numCache>
                <c:formatCode>General</c:formatCode>
                <c:ptCount val="9"/>
                <c:pt idx="0">
                  <c:v>0.5</c:v>
                </c:pt>
                <c:pt idx="1">
                  <c:v>0.2</c:v>
                </c:pt>
                <c:pt idx="2">
                  <c:v>0.1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>
                  <c:v>2E-3</c:v>
                </c:pt>
                <c:pt idx="8">
                  <c:v>1E-3</c:v>
                </c:pt>
              </c:numCache>
            </c:numRef>
          </c:xVal>
          <c:yVal>
            <c:numRef>
              <c:f>'de.8 figs'!$K$22:$K$30</c:f>
            </c:numRef>
          </c:yVal>
          <c:smooth val="1"/>
          <c:extLst>
            <c:ext xmlns:c16="http://schemas.microsoft.com/office/drawing/2014/chart" uri="{C3380CC4-5D6E-409C-BE32-E72D297353CC}">
              <c16:uniqueId val="{00000006-6B23-429A-B0D7-395B0755A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06432"/>
        <c:axId val="2027108512"/>
      </c:scatterChart>
      <c:valAx>
        <c:axId val="2027106432"/>
        <c:scaling>
          <c:logBase val="10"/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8512"/>
        <c:crosses val="autoZero"/>
        <c:crossBetween val="midCat"/>
      </c:valAx>
      <c:valAx>
        <c:axId val="202710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0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513228</xdr:colOff>
      <xdr:row>1</xdr:row>
      <xdr:rowOff>17369</xdr:rowOff>
    </xdr:from>
    <xdr:to>
      <xdr:col>20</xdr:col>
      <xdr:colOff>560853</xdr:colOff>
      <xdr:row>19</xdr:row>
      <xdr:rowOff>72838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512108</xdr:colOff>
      <xdr:row>20</xdr:row>
      <xdr:rowOff>79001</xdr:rowOff>
    </xdr:from>
    <xdr:to>
      <xdr:col>20</xdr:col>
      <xdr:colOff>540683</xdr:colOff>
      <xdr:row>38</xdr:row>
      <xdr:rowOff>88527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477369</xdr:colOff>
      <xdr:row>39</xdr:row>
      <xdr:rowOff>61633</xdr:rowOff>
    </xdr:from>
    <xdr:to>
      <xdr:col>21</xdr:col>
      <xdr:colOff>0</xdr:colOff>
      <xdr:row>58</xdr:row>
      <xdr:rowOff>4483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181856</xdr:colOff>
      <xdr:row>1</xdr:row>
      <xdr:rowOff>5283</xdr:rowOff>
    </xdr:from>
    <xdr:to>
      <xdr:col>30</xdr:col>
      <xdr:colOff>206189</xdr:colOff>
      <xdr:row>21</xdr:row>
      <xdr:rowOff>168250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154319</xdr:colOff>
      <xdr:row>22</xdr:row>
      <xdr:rowOff>156722</xdr:rowOff>
    </xdr:from>
    <xdr:to>
      <xdr:col>30</xdr:col>
      <xdr:colOff>242047</xdr:colOff>
      <xdr:row>45</xdr:row>
      <xdr:rowOff>31537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601754</xdr:colOff>
      <xdr:row>0</xdr:row>
      <xdr:rowOff>174812</xdr:rowOff>
    </xdr:from>
    <xdr:to>
      <xdr:col>20</xdr:col>
      <xdr:colOff>286871</xdr:colOff>
      <xdr:row>18</xdr:row>
      <xdr:rowOff>52668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597273</xdr:colOff>
      <xdr:row>19</xdr:row>
      <xdr:rowOff>96371</xdr:rowOff>
    </xdr:from>
    <xdr:to>
      <xdr:col>20</xdr:col>
      <xdr:colOff>273423</xdr:colOff>
      <xdr:row>37</xdr:row>
      <xdr:rowOff>20171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544044</xdr:colOff>
      <xdr:row>0</xdr:row>
      <xdr:rowOff>170890</xdr:rowOff>
    </xdr:from>
    <xdr:to>
      <xdr:col>30</xdr:col>
      <xdr:colOff>39219</xdr:colOff>
      <xdr:row>18</xdr:row>
      <xdr:rowOff>26894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545726</xdr:colOff>
      <xdr:row>19</xdr:row>
      <xdr:rowOff>82363</xdr:rowOff>
    </xdr:from>
    <xdr:to>
      <xdr:col>29</xdr:col>
      <xdr:colOff>440951</xdr:colOff>
      <xdr:row>36</xdr:row>
      <xdr:rowOff>143436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516031</xdr:colOff>
      <xdr:row>0</xdr:row>
      <xdr:rowOff>173131</xdr:rowOff>
    </xdr:from>
    <xdr:to>
      <xdr:col>20</xdr:col>
      <xdr:colOff>573181</xdr:colOff>
      <xdr:row>18</xdr:row>
      <xdr:rowOff>173131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511548</xdr:colOff>
      <xdr:row>19</xdr:row>
      <xdr:rowOff>161925</xdr:rowOff>
    </xdr:from>
    <xdr:to>
      <xdr:col>21</xdr:col>
      <xdr:colOff>62753</xdr:colOff>
      <xdr:row>38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271181</xdr:colOff>
      <xdr:row>1</xdr:row>
      <xdr:rowOff>29694</xdr:rowOff>
    </xdr:from>
    <xdr:to>
      <xdr:col>30</xdr:col>
      <xdr:colOff>403412</xdr:colOff>
      <xdr:row>18</xdr:row>
      <xdr:rowOff>143435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8BB4-A068-4E9F-ABB6-88546ACF9FCF}">
  <dimension ref="A1:C56"/>
  <sheetViews>
    <sheetView tabSelected="1" workbookViewId="0"/>
  </sheetViews>
  <sheetFormatPr defaultRowHeight="14.4" x14ac:dyDescent="0.3"/>
  <sheetData>
    <row r="1" spans="1:3" x14ac:dyDescent="0.3">
      <c r="A1" t="s">
        <v>37</v>
      </c>
    </row>
    <row r="2" spans="1:3" x14ac:dyDescent="0.3">
      <c r="A2" t="s">
        <v>49</v>
      </c>
    </row>
    <row r="3" spans="1:3" x14ac:dyDescent="0.3">
      <c r="A3" t="s">
        <v>38</v>
      </c>
    </row>
    <row r="5" spans="1:3" x14ac:dyDescent="0.3">
      <c r="A5" t="s">
        <v>95</v>
      </c>
    </row>
    <row r="6" spans="1:3" x14ac:dyDescent="0.3">
      <c r="A6" t="s">
        <v>39</v>
      </c>
    </row>
    <row r="7" spans="1:3" x14ac:dyDescent="0.3">
      <c r="A7" t="s">
        <v>40</v>
      </c>
    </row>
    <row r="8" spans="1:3" x14ac:dyDescent="0.3">
      <c r="A8" t="s">
        <v>50</v>
      </c>
    </row>
    <row r="10" spans="1:3" x14ac:dyDescent="0.3">
      <c r="A10" t="s">
        <v>52</v>
      </c>
    </row>
    <row r="12" spans="1:3" x14ac:dyDescent="0.3">
      <c r="A12" t="s">
        <v>51</v>
      </c>
    </row>
    <row r="14" spans="1:3" x14ac:dyDescent="0.3">
      <c r="A14" t="s">
        <v>0</v>
      </c>
      <c r="C14" t="s">
        <v>41</v>
      </c>
    </row>
    <row r="15" spans="1:3" x14ac:dyDescent="0.3">
      <c r="A15" t="s">
        <v>66</v>
      </c>
      <c r="C15" t="s">
        <v>67</v>
      </c>
    </row>
    <row r="16" spans="1:3" x14ac:dyDescent="0.3">
      <c r="A16" t="s">
        <v>42</v>
      </c>
      <c r="B16" s="6"/>
      <c r="C16" t="s">
        <v>68</v>
      </c>
    </row>
    <row r="17" spans="1:3" x14ac:dyDescent="0.3">
      <c r="A17" t="s">
        <v>59</v>
      </c>
    </row>
    <row r="18" spans="1:3" x14ac:dyDescent="0.3">
      <c r="A18" t="s">
        <v>1</v>
      </c>
    </row>
    <row r="19" spans="1:3" x14ac:dyDescent="0.3">
      <c r="A19" t="s">
        <v>2</v>
      </c>
      <c r="C19" t="s">
        <v>43</v>
      </c>
    </row>
    <row r="20" spans="1:3" x14ac:dyDescent="0.3">
      <c r="A20" t="s">
        <v>44</v>
      </c>
      <c r="C20" t="s">
        <v>69</v>
      </c>
    </row>
    <row r="21" spans="1:3" x14ac:dyDescent="0.3">
      <c r="A21" t="s">
        <v>57</v>
      </c>
      <c r="C21" t="s">
        <v>70</v>
      </c>
    </row>
    <row r="22" spans="1:3" x14ac:dyDescent="0.3">
      <c r="A22" s="2" t="s">
        <v>97</v>
      </c>
      <c r="B22" s="2"/>
      <c r="C22" t="s">
        <v>71</v>
      </c>
    </row>
    <row r="23" spans="1:3" x14ac:dyDescent="0.3">
      <c r="A23" t="s">
        <v>96</v>
      </c>
      <c r="B23" s="6"/>
      <c r="C23" t="s">
        <v>72</v>
      </c>
    </row>
    <row r="25" spans="1:3" x14ac:dyDescent="0.3">
      <c r="A25" t="s">
        <v>3</v>
      </c>
      <c r="C25" t="s">
        <v>45</v>
      </c>
    </row>
    <row r="26" spans="1:3" x14ac:dyDescent="0.3">
      <c r="A26" t="s">
        <v>4</v>
      </c>
      <c r="C26" t="s">
        <v>46</v>
      </c>
    </row>
    <row r="28" spans="1:3" x14ac:dyDescent="0.3">
      <c r="A28" t="s">
        <v>5</v>
      </c>
      <c r="C28" t="s">
        <v>47</v>
      </c>
    </row>
    <row r="29" spans="1:3" x14ac:dyDescent="0.3">
      <c r="A29" t="s">
        <v>6</v>
      </c>
      <c r="C29" t="s">
        <v>48</v>
      </c>
    </row>
    <row r="31" spans="1:3" x14ac:dyDescent="0.3">
      <c r="A31" s="4" t="s">
        <v>28</v>
      </c>
      <c r="B31" s="2"/>
      <c r="C31" t="s">
        <v>73</v>
      </c>
    </row>
    <row r="32" spans="1:3" x14ac:dyDescent="0.3">
      <c r="A32" t="s">
        <v>7</v>
      </c>
      <c r="C32" t="s">
        <v>74</v>
      </c>
    </row>
    <row r="33" spans="1:3" x14ac:dyDescent="0.3">
      <c r="A33" t="s">
        <v>8</v>
      </c>
      <c r="C33" t="s">
        <v>75</v>
      </c>
    </row>
    <row r="34" spans="1:3" x14ac:dyDescent="0.3">
      <c r="A34" s="2" t="s">
        <v>29</v>
      </c>
      <c r="C34" t="s">
        <v>76</v>
      </c>
    </row>
    <row r="35" spans="1:3" x14ac:dyDescent="0.3">
      <c r="A35" t="s">
        <v>10</v>
      </c>
    </row>
    <row r="36" spans="1:3" x14ac:dyDescent="0.3">
      <c r="A36" t="s">
        <v>11</v>
      </c>
    </row>
    <row r="37" spans="1:3" x14ac:dyDescent="0.3">
      <c r="A37" s="2" t="s">
        <v>30</v>
      </c>
      <c r="C37" t="s">
        <v>77</v>
      </c>
    </row>
    <row r="38" spans="1:3" x14ac:dyDescent="0.3">
      <c r="A38" t="s">
        <v>13</v>
      </c>
    </row>
    <row r="39" spans="1:3" x14ac:dyDescent="0.3">
      <c r="A39" t="s">
        <v>14</v>
      </c>
    </row>
    <row r="41" spans="1:3" x14ac:dyDescent="0.3">
      <c r="A41" t="s">
        <v>16</v>
      </c>
      <c r="C41" t="s">
        <v>94</v>
      </c>
    </row>
    <row r="42" spans="1:3" x14ac:dyDescent="0.3">
      <c r="A42" t="s">
        <v>17</v>
      </c>
    </row>
    <row r="43" spans="1:3" x14ac:dyDescent="0.3">
      <c r="A43" t="s">
        <v>88</v>
      </c>
    </row>
    <row r="44" spans="1:3" x14ac:dyDescent="0.3">
      <c r="A44" t="s">
        <v>89</v>
      </c>
    </row>
    <row r="45" spans="1:3" x14ac:dyDescent="0.3">
      <c r="A45" t="s">
        <v>90</v>
      </c>
    </row>
    <row r="46" spans="1:3" x14ac:dyDescent="0.3">
      <c r="A46" t="s">
        <v>91</v>
      </c>
    </row>
    <row r="47" spans="1:3" x14ac:dyDescent="0.3">
      <c r="A47" t="s">
        <v>92</v>
      </c>
    </row>
    <row r="48" spans="1:3" x14ac:dyDescent="0.3">
      <c r="A48" t="s">
        <v>93</v>
      </c>
    </row>
    <row r="50" spans="1:3" x14ac:dyDescent="0.3">
      <c r="A50" t="s">
        <v>9</v>
      </c>
      <c r="C50" t="s">
        <v>78</v>
      </c>
    </row>
    <row r="51" spans="1:3" x14ac:dyDescent="0.3">
      <c r="A51" t="s">
        <v>12</v>
      </c>
      <c r="C51" t="s">
        <v>79</v>
      </c>
    </row>
    <row r="52" spans="1:3" x14ac:dyDescent="0.3">
      <c r="A52" t="s">
        <v>15</v>
      </c>
      <c r="C52" t="s">
        <v>80</v>
      </c>
    </row>
    <row r="53" spans="1:3" x14ac:dyDescent="0.3">
      <c r="A53" t="s">
        <v>18</v>
      </c>
      <c r="C53" t="s">
        <v>81</v>
      </c>
    </row>
    <row r="54" spans="1:3" x14ac:dyDescent="0.3">
      <c r="A54" t="s">
        <v>82</v>
      </c>
      <c r="C54" t="s">
        <v>85</v>
      </c>
    </row>
    <row r="55" spans="1:3" x14ac:dyDescent="0.3">
      <c r="A55" t="s">
        <v>83</v>
      </c>
      <c r="C55" t="s">
        <v>87</v>
      </c>
    </row>
    <row r="56" spans="1:3" x14ac:dyDescent="0.3">
      <c r="A56" t="s">
        <v>84</v>
      </c>
      <c r="C56" t="s">
        <v>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31"/>
  <sheetViews>
    <sheetView zoomScale="70" zoomScaleNormal="70" workbookViewId="0"/>
  </sheetViews>
  <sheetFormatPr defaultRowHeight="14.4" x14ac:dyDescent="0.3"/>
  <cols>
    <col min="3" max="3" width="14.88671875" customWidth="1"/>
    <col min="4" max="4" width="9.109375" customWidth="1"/>
    <col min="7" max="8" width="9.109375" customWidth="1"/>
    <col min="9" max="9" width="12" style="2" customWidth="1"/>
    <col min="10" max="17" width="9.109375" customWidth="1"/>
    <col min="18" max="18" width="10.44140625" style="4" customWidth="1"/>
    <col min="19" max="19" width="11.6640625" customWidth="1"/>
    <col min="20" max="20" width="11.5546875" customWidth="1"/>
    <col min="21" max="21" width="12" style="2" customWidth="1"/>
    <col min="22" max="23" width="9.109375" customWidth="1"/>
    <col min="24" max="24" width="12" style="2" customWidth="1"/>
    <col min="25" max="36" width="9.109375" customWidth="1"/>
    <col min="37" max="37" width="9" customWidth="1"/>
    <col min="40" max="40" width="11" customWidth="1"/>
  </cols>
  <sheetData>
    <row r="1" spans="1:43" x14ac:dyDescent="0.3">
      <c r="A1" t="s">
        <v>0</v>
      </c>
      <c r="B1" t="s">
        <v>66</v>
      </c>
      <c r="C1" s="6" t="s">
        <v>42</v>
      </c>
      <c r="D1" t="s">
        <v>59</v>
      </c>
      <c r="E1" t="s">
        <v>1</v>
      </c>
      <c r="F1" t="s">
        <v>2</v>
      </c>
      <c r="G1" t="s">
        <v>44</v>
      </c>
      <c r="H1" t="s">
        <v>57</v>
      </c>
      <c r="I1" s="2" t="s">
        <v>56</v>
      </c>
      <c r="J1" t="s">
        <v>58</v>
      </c>
      <c r="L1" t="s">
        <v>3</v>
      </c>
      <c r="M1" t="s">
        <v>4</v>
      </c>
      <c r="O1" t="s">
        <v>5</v>
      </c>
      <c r="P1" t="s">
        <v>6</v>
      </c>
      <c r="R1" s="4" t="s">
        <v>53</v>
      </c>
      <c r="S1" t="s">
        <v>7</v>
      </c>
      <c r="T1" t="s">
        <v>8</v>
      </c>
      <c r="U1" s="2" t="s">
        <v>54</v>
      </c>
      <c r="V1" t="s">
        <v>10</v>
      </c>
      <c r="W1" t="s">
        <v>11</v>
      </c>
      <c r="X1" s="2" t="s">
        <v>55</v>
      </c>
      <c r="Y1" t="s">
        <v>13</v>
      </c>
      <c r="Z1" t="s">
        <v>14</v>
      </c>
      <c r="AB1" t="s">
        <v>16</v>
      </c>
      <c r="AC1" t="s">
        <v>17</v>
      </c>
      <c r="AD1" t="s">
        <v>19</v>
      </c>
      <c r="AE1" t="s">
        <v>20</v>
      </c>
      <c r="AF1" t="s">
        <v>22</v>
      </c>
      <c r="AG1" t="s">
        <v>23</v>
      </c>
      <c r="AH1" t="s">
        <v>25</v>
      </c>
      <c r="AI1" t="s">
        <v>26</v>
      </c>
      <c r="AK1" t="s">
        <v>9</v>
      </c>
      <c r="AL1" t="s">
        <v>12</v>
      </c>
      <c r="AM1" t="s">
        <v>15</v>
      </c>
      <c r="AN1" t="s">
        <v>18</v>
      </c>
      <c r="AO1" t="s">
        <v>21</v>
      </c>
      <c r="AP1" t="s">
        <v>24</v>
      </c>
      <c r="AQ1" t="s">
        <v>27</v>
      </c>
    </row>
    <row r="2" spans="1:43" x14ac:dyDescent="0.3">
      <c r="A2">
        <v>5</v>
      </c>
      <c r="B2">
        <v>0.2</v>
      </c>
      <c r="C2">
        <v>0.5</v>
      </c>
      <c r="D2">
        <f t="shared" ref="D2:D16" si="0">1-C2</f>
        <v>0.5</v>
      </c>
      <c r="E2">
        <f t="shared" ref="E2:E15" si="1">SQRT(A2)</f>
        <v>2.2360679774997898</v>
      </c>
      <c r="F2">
        <f t="shared" ref="F2:F15" si="2">A2-1</f>
        <v>4</v>
      </c>
      <c r="G2">
        <f>-_xlfn.T.INV(C2,F2)/E2</f>
        <v>0</v>
      </c>
      <c r="H2">
        <f t="shared" ref="H2:H15" si="3">G2-B2</f>
        <v>-0.2</v>
      </c>
      <c r="I2" s="2">
        <f>_xlfn.T.DIST.RT(E2*H2,F2)</f>
        <v>0.66106558565037532</v>
      </c>
      <c r="J2">
        <f>1-I2</f>
        <v>0.33893441434962468</v>
      </c>
      <c r="L2">
        <f>I2/C2</f>
        <v>1.3221311713007506</v>
      </c>
      <c r="M2">
        <f>LOG10(L2)</f>
        <v>0.12127454451883664</v>
      </c>
      <c r="O2">
        <f>J2/D2</f>
        <v>0.67786882869924936</v>
      </c>
      <c r="P2">
        <f>LOG10(O2)</f>
        <v>-0.16885433634452054</v>
      </c>
      <c r="R2" s="4">
        <f>_xlfn.T.DIST.RT(E2*(G2-0.2),F2)</f>
        <v>0.66106558565037532</v>
      </c>
      <c r="S2">
        <f>R2*M2</f>
        <v>8.0170427796827259E-2</v>
      </c>
      <c r="T2">
        <f>(1-R2)*P2</f>
        <v>-5.7230545599324618E-2</v>
      </c>
      <c r="U2" s="2">
        <f>_xlfn.T.DIST.RT(E2*(G2-0.4),F2)</f>
        <v>0.78917587241190279</v>
      </c>
      <c r="V2">
        <f>U2*M2</f>
        <v>9.5706944472009045E-2</v>
      </c>
      <c r="W2">
        <f>(1-U2)*P2</f>
        <v>-3.559856814930068E-2</v>
      </c>
      <c r="X2" s="2">
        <f>_xlfn.T.DIST.RT(E2*(G2-0.8),F2)</f>
        <v>0.92592592592592604</v>
      </c>
      <c r="Y2">
        <f>X2*M2</f>
        <v>0.11229124492484875</v>
      </c>
      <c r="Z2">
        <f>(1-X2)*P2</f>
        <v>-1.2507728618112614E-2</v>
      </c>
      <c r="AB2">
        <f>C2*M2</f>
        <v>6.0637272259418319E-2</v>
      </c>
      <c r="AC2">
        <f>D2*P2</f>
        <v>-8.4427168172260272E-2</v>
      </c>
      <c r="AD2">
        <f>(C2+0.01)*M2</f>
        <v>6.1850017704606686E-2</v>
      </c>
      <c r="AE2">
        <f>(D2-0.01)*P2</f>
        <v>-8.2738624808815067E-2</v>
      </c>
      <c r="AF2">
        <f>(C2+0.05)*M2</f>
        <v>6.6700999485360152E-2</v>
      </c>
      <c r="AG2">
        <f>(D2-0.05)*P2</f>
        <v>-7.5984451355034247E-2</v>
      </c>
      <c r="AH2">
        <f>(C2+0.1)*M2</f>
        <v>7.2764726711301977E-2</v>
      </c>
      <c r="AI2">
        <f>(D2-0.1)*P2</f>
        <v>-6.7541734537808221E-2</v>
      </c>
      <c r="AK2">
        <f t="shared" ref="AK2:AK16" si="4">S2+T2</f>
        <v>2.2939882197502641E-2</v>
      </c>
      <c r="AL2">
        <f t="shared" ref="AL2:AL16" si="5">V2+W2</f>
        <v>6.0108376322708365E-2</v>
      </c>
      <c r="AM2">
        <f t="shared" ref="AM2:AM16" si="6">Y2+Z2</f>
        <v>9.9783516306736139E-2</v>
      </c>
      <c r="AN2">
        <f t="shared" ref="AN2:AN16" si="7">AB2+AC2</f>
        <v>-2.3789895912841953E-2</v>
      </c>
      <c r="AO2">
        <f t="shared" ref="AO2:AO16" si="8">AD2+AE2</f>
        <v>-2.0888607104208382E-2</v>
      </c>
      <c r="AP2">
        <f t="shared" ref="AP2:AP16" si="9">AF2+AG2</f>
        <v>-9.2834518696740947E-3</v>
      </c>
      <c r="AQ2">
        <f>AH2+AI2</f>
        <v>5.2229921734937568E-3</v>
      </c>
    </row>
    <row r="3" spans="1:43" x14ac:dyDescent="0.3">
      <c r="A3">
        <v>5</v>
      </c>
      <c r="B3">
        <v>0.2</v>
      </c>
      <c r="C3">
        <v>0.39490742000000001</v>
      </c>
      <c r="D3">
        <f t="shared" si="0"/>
        <v>0.60509257999999999</v>
      </c>
      <c r="E3">
        <f t="shared" si="1"/>
        <v>2.2360679774997898</v>
      </c>
      <c r="F3">
        <f t="shared" si="2"/>
        <v>4</v>
      </c>
      <c r="G3">
        <f t="shared" ref="G3" si="10">-_xlfn.T.INV(C3,F3)/E3</f>
        <v>0.12744128524315834</v>
      </c>
      <c r="H3">
        <f t="shared" si="3"/>
        <v>-7.2558714756841669E-2</v>
      </c>
      <c r="I3" s="2">
        <f>_xlfn.T.DIST.RT(E3*H3,F3)</f>
        <v>0.56051095405618601</v>
      </c>
      <c r="J3">
        <f>1-I3</f>
        <v>0.43948904594381399</v>
      </c>
      <c r="L3">
        <f>I3/C3</f>
        <v>1.4193477399239194</v>
      </c>
      <c r="M3">
        <f t="shared" ref="M3" si="11">LOG10(L3)</f>
        <v>0.15208881055857454</v>
      </c>
      <c r="O3">
        <f>J3/D3</f>
        <v>0.72631703060020003</v>
      </c>
      <c r="P3">
        <f t="shared" ref="P3" si="12">LOG10(O3)</f>
        <v>-0.13887377243095506</v>
      </c>
      <c r="R3" s="4">
        <f>_xlfn.T.DIST.RT(E3*(G3-0.2),F3)</f>
        <v>0.56051095405618601</v>
      </c>
      <c r="S3">
        <f>R3*M3</f>
        <v>8.5247444307457149E-2</v>
      </c>
      <c r="T3">
        <f>(1-R3)*P3</f>
        <v>-6.1033501752298776E-2</v>
      </c>
      <c r="U3" s="2">
        <f>_xlfn.T.DIST.RT(E3*(G3-0.4),F3)</f>
        <v>0.71242997195366509</v>
      </c>
      <c r="V3">
        <f>U3*M3</f>
        <v>0.10835262704071154</v>
      </c>
      <c r="W3">
        <f>(1-U3)*P3</f>
        <v>-3.9935934632870075E-2</v>
      </c>
      <c r="X3" s="2">
        <f>_xlfn.T.DIST.RT(E3*(G3-0.8),F3)</f>
        <v>0.89647652270124945</v>
      </c>
      <c r="Y3">
        <f>X3*M3</f>
        <v>0.13634404803131997</v>
      </c>
      <c r="Z3">
        <f>(1-X3)*P3</f>
        <v>-1.4376695827647827E-2</v>
      </c>
      <c r="AB3">
        <f>C3*M3</f>
        <v>6.0060999788555433E-2</v>
      </c>
      <c r="AC3">
        <f>D3*P3</f>
        <v>-8.4031489254579469E-2</v>
      </c>
      <c r="AD3">
        <f>(C3+0.01)*M3</f>
        <v>6.158188789414118E-2</v>
      </c>
      <c r="AE3">
        <f>(D3-0.01)*P3</f>
        <v>-8.2642751530269912E-2</v>
      </c>
      <c r="AF3">
        <f>(C3+0.05)*M3</f>
        <v>6.7665440316484152E-2</v>
      </c>
      <c r="AG3">
        <f>(D3-0.05)*P3</f>
        <v>-7.7087800633031708E-2</v>
      </c>
      <c r="AH3">
        <f>(C3+0.1)*M3</f>
        <v>7.5269880844412884E-2</v>
      </c>
      <c r="AI3">
        <f>(D3-0.1)*P3</f>
        <v>-7.0144112011483961E-2</v>
      </c>
      <c r="AK3">
        <f t="shared" si="4"/>
        <v>2.4213942555158373E-2</v>
      </c>
      <c r="AL3">
        <f t="shared" si="5"/>
        <v>6.8416692407841456E-2</v>
      </c>
      <c r="AM3">
        <f t="shared" si="6"/>
        <v>0.12196735220367214</v>
      </c>
      <c r="AN3">
        <f t="shared" si="7"/>
        <v>-2.3970489466024036E-2</v>
      </c>
      <c r="AO3">
        <f t="shared" si="8"/>
        <v>-2.1060863636128732E-2</v>
      </c>
      <c r="AP3">
        <f t="shared" si="9"/>
        <v>-9.4223603165475567E-3</v>
      </c>
      <c r="AQ3">
        <f t="shared" ref="AQ3:AQ46" si="13">AH3+AI3</f>
        <v>5.125768832928923E-3</v>
      </c>
    </row>
    <row r="4" spans="1:43" x14ac:dyDescent="0.3">
      <c r="A4">
        <v>5</v>
      </c>
      <c r="B4">
        <v>0.2</v>
      </c>
      <c r="C4">
        <v>0.2</v>
      </c>
      <c r="D4">
        <f t="shared" si="0"/>
        <v>0.8</v>
      </c>
      <c r="E4">
        <f t="shared" si="1"/>
        <v>2.2360679774997898</v>
      </c>
      <c r="F4">
        <f t="shared" si="2"/>
        <v>4</v>
      </c>
      <c r="G4">
        <f t="shared" ref="G4:G15" si="14">-_xlfn.T.INV(C4,F4)/E4</f>
        <v>0.42081215182344295</v>
      </c>
      <c r="H4">
        <f t="shared" si="3"/>
        <v>0.22081215182344294</v>
      </c>
      <c r="I4" s="2">
        <f>_xlfn.T.DIST.RT(E4*H4,F4)</f>
        <v>0.32368249406830352</v>
      </c>
      <c r="J4">
        <f>1-I4</f>
        <v>0.67631750593169648</v>
      </c>
      <c r="L4">
        <f>I4/C4</f>
        <v>1.6184124703415175</v>
      </c>
      <c r="M4">
        <f t="shared" ref="M4:M15" si="15">LOG10(L4)</f>
        <v>0.20908921614166776</v>
      </c>
      <c r="O4">
        <f>J4/D4</f>
        <v>0.84539688241462052</v>
      </c>
      <c r="P4">
        <f t="shared" ref="P4:P15" si="16">LOG10(O4)</f>
        <v>-7.2939358059665726E-2</v>
      </c>
      <c r="R4" s="4">
        <f>_xlfn.T.DIST.RT(E4*(G4-0.2),F4)</f>
        <v>0.32368249406830352</v>
      </c>
      <c r="S4">
        <f>R4*M4</f>
        <v>6.7678518963521603E-2</v>
      </c>
      <c r="T4">
        <f>(1-R4)*P4</f>
        <v>-4.933016472717211E-2</v>
      </c>
      <c r="U4" s="2">
        <f>_xlfn.T.DIST.RT(E4*(G4-0.4),F4)</f>
        <v>0.48255634969852934</v>
      </c>
      <c r="V4">
        <f>U4*M4</f>
        <v>0.10089732890265</v>
      </c>
      <c r="W4">
        <f>(1-U4)*P4</f>
        <v>-3.7742007685039429E-2</v>
      </c>
      <c r="X4" s="2">
        <f>_xlfn.T.DIST.RT(E4*(G4-0.8),F4)</f>
        <v>0.77787224946561195</v>
      </c>
      <c r="Y4">
        <f>X4*M4</f>
        <v>0.16264469889912064</v>
      </c>
      <c r="Z4">
        <f>(1-X4)*P4</f>
        <v>-1.6201855531215836E-2</v>
      </c>
      <c r="AB4">
        <f>C4*M4</f>
        <v>4.1817843228333554E-2</v>
      </c>
      <c r="AC4">
        <f>D4*P4</f>
        <v>-5.8351486447732581E-2</v>
      </c>
      <c r="AD4">
        <f>(C4+0.01)*M4</f>
        <v>4.3908735389750229E-2</v>
      </c>
      <c r="AE4">
        <f>(D4-0.01)*P4</f>
        <v>-5.7622092867135925E-2</v>
      </c>
      <c r="AF4">
        <f>(C4+0.05)*M4</f>
        <v>5.2272304035416939E-2</v>
      </c>
      <c r="AG4">
        <f>(D4-0.05)*P4</f>
        <v>-5.4704518544749295E-2</v>
      </c>
      <c r="AH4">
        <f>(C4+0.1)*M4</f>
        <v>6.2726764842500338E-2</v>
      </c>
      <c r="AI4">
        <f>(D4-0.1)*P4</f>
        <v>-5.1057550641766015E-2</v>
      </c>
      <c r="AK4">
        <f t="shared" si="4"/>
        <v>1.8348354236349493E-2</v>
      </c>
      <c r="AL4">
        <f t="shared" si="5"/>
        <v>6.3155321217610583E-2</v>
      </c>
      <c r="AM4">
        <f t="shared" si="6"/>
        <v>0.14644284336790481</v>
      </c>
      <c r="AN4">
        <f t="shared" si="7"/>
        <v>-1.6533643219399027E-2</v>
      </c>
      <c r="AO4">
        <f t="shared" si="8"/>
        <v>-1.3713357477385696E-2</v>
      </c>
      <c r="AP4">
        <f t="shared" si="9"/>
        <v>-2.4322145093323561E-3</v>
      </c>
      <c r="AQ4">
        <f t="shared" si="13"/>
        <v>1.1669214200734322E-2</v>
      </c>
    </row>
    <row r="5" spans="1:43" x14ac:dyDescent="0.3">
      <c r="A5">
        <v>5</v>
      </c>
      <c r="B5">
        <v>0.2</v>
      </c>
      <c r="C5">
        <v>0.1</v>
      </c>
      <c r="D5">
        <f t="shared" si="0"/>
        <v>0.9</v>
      </c>
      <c r="E5">
        <f t="shared" si="1"/>
        <v>2.2360679774997898</v>
      </c>
      <c r="F5">
        <f t="shared" si="2"/>
        <v>4</v>
      </c>
      <c r="G5">
        <f t="shared" si="14"/>
        <v>0.68567069046499429</v>
      </c>
      <c r="H5">
        <f t="shared" si="3"/>
        <v>0.48567069046499428</v>
      </c>
      <c r="I5" s="2">
        <f>_xlfn.T.DIST.RT(E5*H5,F5)</f>
        <v>0.16927488736668583</v>
      </c>
      <c r="J5">
        <f>1-I5</f>
        <v>0.83072511263331417</v>
      </c>
      <c r="L5">
        <f>I5/C5</f>
        <v>1.6927488736668583</v>
      </c>
      <c r="M5">
        <f t="shared" si="15"/>
        <v>0.22859253349564376</v>
      </c>
      <c r="O5">
        <f>J5/D5</f>
        <v>0.92302790292590464</v>
      </c>
      <c r="P5">
        <f t="shared" si="16"/>
        <v>-3.4785170151136725E-2</v>
      </c>
      <c r="R5" s="4">
        <f>_xlfn.T.DIST.RT(E5*(G5-0.2),F5)</f>
        <v>0.16927488736668583</v>
      </c>
      <c r="S5">
        <f>R5*M5</f>
        <v>3.8694975360340458E-2</v>
      </c>
      <c r="T5">
        <f>(1-R5)*P5</f>
        <v>-2.8896914391772055E-2</v>
      </c>
      <c r="U5" s="2">
        <f>_xlfn.T.DIST.RT(E5*(G5-0.4),F5)</f>
        <v>0.27885469810285812</v>
      </c>
      <c r="V5">
        <f>U5*M5</f>
        <v>6.3744101916495224E-2</v>
      </c>
      <c r="W5">
        <f>(1-U5)*P5</f>
        <v>-2.5085162030184942E-2</v>
      </c>
      <c r="X5" s="2">
        <f>_xlfn.T.DIST.RT(E5*(G5-0.8),F5)</f>
        <v>0.59458472684538255</v>
      </c>
      <c r="Y5">
        <f>X5*M5</f>
        <v>0.13591762908740132</v>
      </c>
      <c r="Z5">
        <f>(1-X5)*P5</f>
        <v>-1.4102439258552941E-2</v>
      </c>
      <c r="AB5">
        <f>C5*M5</f>
        <v>2.2859253349564377E-2</v>
      </c>
      <c r="AC5">
        <f>D5*P5</f>
        <v>-3.1306653136023051E-2</v>
      </c>
      <c r="AD5">
        <f>(C5+0.01)*M5</f>
        <v>2.5145178684520816E-2</v>
      </c>
      <c r="AE5">
        <f>(D5-0.01)*P5</f>
        <v>-3.0958801434511685E-2</v>
      </c>
      <c r="AF5">
        <f>(C5+0.05)*M5</f>
        <v>3.4288880024346567E-2</v>
      </c>
      <c r="AG5">
        <f>(D5-0.05)*P5</f>
        <v>-2.9567394628466217E-2</v>
      </c>
      <c r="AH5">
        <f>(C5+0.1)*M5</f>
        <v>4.5718506699128754E-2</v>
      </c>
      <c r="AI5">
        <f>(D5-0.1)*P5</f>
        <v>-2.7828136120909383E-2</v>
      </c>
      <c r="AK5">
        <f t="shared" si="4"/>
        <v>9.7980609685684034E-3</v>
      </c>
      <c r="AL5">
        <f t="shared" si="5"/>
        <v>3.8658939886310278E-2</v>
      </c>
      <c r="AM5">
        <f t="shared" si="6"/>
        <v>0.12181518982884838</v>
      </c>
      <c r="AN5">
        <f t="shared" si="7"/>
        <v>-8.4473997864586738E-3</v>
      </c>
      <c r="AO5">
        <f t="shared" si="8"/>
        <v>-5.8136227499908689E-3</v>
      </c>
      <c r="AP5">
        <f t="shared" si="9"/>
        <v>4.7214853958803503E-3</v>
      </c>
      <c r="AQ5">
        <f t="shared" si="13"/>
        <v>1.7890370578219371E-2</v>
      </c>
    </row>
    <row r="6" spans="1:43" x14ac:dyDescent="0.3">
      <c r="A6">
        <v>5</v>
      </c>
      <c r="B6">
        <v>0.2</v>
      </c>
      <c r="C6">
        <v>0.05</v>
      </c>
      <c r="D6">
        <f t="shared" si="0"/>
        <v>0.95</v>
      </c>
      <c r="E6">
        <f t="shared" si="1"/>
        <v>2.2360679774997898</v>
      </c>
      <c r="F6">
        <f t="shared" si="2"/>
        <v>4</v>
      </c>
      <c r="G6">
        <f t="shared" si="14"/>
        <v>0.95339086636817161</v>
      </c>
      <c r="H6">
        <f t="shared" si="3"/>
        <v>0.75339086636817165</v>
      </c>
      <c r="I6" s="2">
        <f>_xlfn.T.DIST.RT(E6*H6,F6)</f>
        <v>8.3671427109241539E-2</v>
      </c>
      <c r="J6">
        <f>1-I6</f>
        <v>0.91632857289075842</v>
      </c>
      <c r="L6">
        <f>I6/C6</f>
        <v>1.6734285421848307</v>
      </c>
      <c r="M6">
        <f t="shared" si="15"/>
        <v>0.22360717208823869</v>
      </c>
      <c r="O6">
        <f>J6/D6</f>
        <v>0.96455639251658787</v>
      </c>
      <c r="P6">
        <f t="shared" si="16"/>
        <v>-1.5672376373821611E-2</v>
      </c>
      <c r="R6" s="4">
        <f>_xlfn.T.DIST.RT(E6*(G6-0.2),F6)</f>
        <v>8.3671427109241539E-2</v>
      </c>
      <c r="S6">
        <f>R6*M6</f>
        <v>1.8709531200484693E-2</v>
      </c>
      <c r="T6">
        <f>(1-R6)*P6</f>
        <v>-1.4361046276430795E-2</v>
      </c>
      <c r="U6" s="2">
        <f>_xlfn.T.DIST.RT(E6*(G6-0.4),F6)</f>
        <v>0.14180320554456149</v>
      </c>
      <c r="V6">
        <f>U6*M6</f>
        <v>3.1708213784866643E-2</v>
      </c>
      <c r="W6">
        <f>(1-U6)*P6</f>
        <v>-1.3449983165512856E-2</v>
      </c>
      <c r="X6" s="2">
        <f>_xlfn.T.DIST.RT(E6*(G6-0.8),F6)</f>
        <v>0.37443588731063271</v>
      </c>
      <c r="Y6">
        <f>X6*M6</f>
        <v>8.3726549889881E-2</v>
      </c>
      <c r="Z6">
        <f>(1-X6)*P6</f>
        <v>-9.8040762200235203E-3</v>
      </c>
      <c r="AB6">
        <f>C6*M6</f>
        <v>1.1180358604411935E-2</v>
      </c>
      <c r="AC6">
        <f>D6*P6</f>
        <v>-1.4888757555130529E-2</v>
      </c>
      <c r="AD6">
        <f>(C6+0.01)*M6</f>
        <v>1.3416430325294323E-2</v>
      </c>
      <c r="AE6">
        <f>(D6-0.01)*P6</f>
        <v>-1.4732033791392313E-2</v>
      </c>
      <c r="AF6">
        <f>(C6+0.05)*M6</f>
        <v>2.236071720882387E-2</v>
      </c>
      <c r="AG6">
        <f>(D6-0.05)*P6</f>
        <v>-1.4105138736439449E-2</v>
      </c>
      <c r="AH6">
        <f>(C6+0.1)*M6</f>
        <v>3.3541075813235809E-2</v>
      </c>
      <c r="AI6">
        <f>(D6-0.1)*P6</f>
        <v>-1.3321519917748369E-2</v>
      </c>
      <c r="AK6">
        <f t="shared" si="4"/>
        <v>4.3484849240538973E-3</v>
      </c>
      <c r="AL6">
        <f t="shared" si="5"/>
        <v>1.8258230619353787E-2</v>
      </c>
      <c r="AM6">
        <f t="shared" si="6"/>
        <v>7.3922473669857477E-2</v>
      </c>
      <c r="AN6">
        <f t="shared" si="7"/>
        <v>-3.708398950718594E-3</v>
      </c>
      <c r="AO6">
        <f t="shared" si="8"/>
        <v>-1.3156034660979903E-3</v>
      </c>
      <c r="AP6">
        <f t="shared" si="9"/>
        <v>8.255578472384421E-3</v>
      </c>
      <c r="AQ6">
        <f t="shared" si="13"/>
        <v>2.0219555895487441E-2</v>
      </c>
    </row>
    <row r="7" spans="1:43" x14ac:dyDescent="0.3">
      <c r="A7">
        <v>5</v>
      </c>
      <c r="B7">
        <v>0.2</v>
      </c>
      <c r="C7">
        <v>0.02</v>
      </c>
      <c r="D7">
        <f t="shared" si="0"/>
        <v>0.98</v>
      </c>
      <c r="E7">
        <f t="shared" si="1"/>
        <v>2.2360679774997898</v>
      </c>
      <c r="F7">
        <f t="shared" si="2"/>
        <v>4</v>
      </c>
      <c r="G7">
        <f t="shared" si="14"/>
        <v>1.3409824313835594</v>
      </c>
      <c r="H7">
        <f t="shared" si="3"/>
        <v>1.1409824313835595</v>
      </c>
      <c r="I7" s="2">
        <f>_xlfn.T.DIST.RT(E7*H7,F7)</f>
        <v>3.1608623915069411E-2</v>
      </c>
      <c r="J7">
        <f>1-I7</f>
        <v>0.96839137608493053</v>
      </c>
      <c r="L7">
        <f>I7/C7</f>
        <v>1.5804311957534705</v>
      </c>
      <c r="M7">
        <f t="shared" si="15"/>
        <v>0.19877559352894697</v>
      </c>
      <c r="O7">
        <f>J7/D7</f>
        <v>0.98815446539278629</v>
      </c>
      <c r="P7">
        <f t="shared" si="16"/>
        <v>-5.1751624727828793E-3</v>
      </c>
      <c r="R7" s="4">
        <f>_xlfn.T.DIST.RT(E7*(G7-0.2),F7)</f>
        <v>3.1608623915069411E-2</v>
      </c>
      <c r="S7">
        <f>R7*M7</f>
        <v>6.2830229793511896E-3</v>
      </c>
      <c r="T7">
        <f>(1-R7)*P7</f>
        <v>-5.0115827084813045E-3</v>
      </c>
      <c r="U7" s="2">
        <f>_xlfn.T.DIST.RT(E7*(G7-0.4),F7)</f>
        <v>5.1587346773211966E-2</v>
      </c>
      <c r="V7">
        <f>U7*M7</f>
        <v>1.0254305473428815E-2</v>
      </c>
      <c r="W7">
        <f>(1-U7)*P7</f>
        <v>-4.908189571691716E-3</v>
      </c>
      <c r="X7" s="2">
        <f>_xlfn.T.DIST.RT(E7*(G7-0.8),F7)</f>
        <v>0.14650287523306982</v>
      </c>
      <c r="Y7">
        <f>X7*M7</f>
        <v>2.9121195978150719E-2</v>
      </c>
      <c r="Z7">
        <f>(1-X7)*P7</f>
        <v>-4.4169862907219044E-3</v>
      </c>
      <c r="AB7">
        <f>C7*M7</f>
        <v>3.9755118705789398E-3</v>
      </c>
      <c r="AC7">
        <f>D7*P7</f>
        <v>-5.0716592233272214E-3</v>
      </c>
      <c r="AD7">
        <f>(C7+0.01)*M7</f>
        <v>5.9632678058684089E-3</v>
      </c>
      <c r="AE7">
        <f>(D7-0.01)*P7</f>
        <v>-5.0199075985993928E-3</v>
      </c>
      <c r="AF7">
        <f>(C7+0.05)*M7</f>
        <v>1.3914291547026289E-2</v>
      </c>
      <c r="AG7">
        <f>(D7-0.05)*P7</f>
        <v>-4.8129010996880777E-3</v>
      </c>
      <c r="AH7">
        <f>(C7+0.1)*M7</f>
        <v>2.3853071223473639E-2</v>
      </c>
      <c r="AI7">
        <f>(D7-0.1)*P7</f>
        <v>-4.5541429760489341E-3</v>
      </c>
      <c r="AK7">
        <f t="shared" si="4"/>
        <v>1.2714402708698851E-3</v>
      </c>
      <c r="AL7">
        <f t="shared" si="5"/>
        <v>5.3461159017370993E-3</v>
      </c>
      <c r="AM7">
        <f t="shared" si="6"/>
        <v>2.4704209687428813E-2</v>
      </c>
      <c r="AN7">
        <f t="shared" si="7"/>
        <v>-1.0961473527482815E-3</v>
      </c>
      <c r="AO7">
        <f t="shared" si="8"/>
        <v>9.4336020726901604E-4</v>
      </c>
      <c r="AP7">
        <f t="shared" si="9"/>
        <v>9.1013904473382125E-3</v>
      </c>
      <c r="AQ7">
        <f t="shared" si="13"/>
        <v>1.9298928247424706E-2</v>
      </c>
    </row>
    <row r="8" spans="1:43" x14ac:dyDescent="0.3">
      <c r="A8">
        <v>5</v>
      </c>
      <c r="B8">
        <v>0.2</v>
      </c>
      <c r="C8">
        <v>0.01</v>
      </c>
      <c r="D8">
        <f t="shared" si="0"/>
        <v>0.99</v>
      </c>
      <c r="E8">
        <f t="shared" si="1"/>
        <v>2.2360679774997898</v>
      </c>
      <c r="F8">
        <f t="shared" si="2"/>
        <v>4</v>
      </c>
      <c r="G8">
        <f t="shared" si="14"/>
        <v>1.6756858135273525</v>
      </c>
      <c r="H8">
        <f t="shared" si="3"/>
        <v>1.4756858135273525</v>
      </c>
      <c r="I8" s="2">
        <f>_xlfn.T.DIST.RT(E8*H8,F8)</f>
        <v>1.4970444511258471E-2</v>
      </c>
      <c r="J8">
        <f>1-I8</f>
        <v>0.98502955548874149</v>
      </c>
      <c r="L8">
        <f>I8/C8</f>
        <v>1.4970444511258469</v>
      </c>
      <c r="M8">
        <f t="shared" si="15"/>
        <v>0.17523469586213114</v>
      </c>
      <c r="O8">
        <f>J8/D8</f>
        <v>0.9949793489785268</v>
      </c>
      <c r="P8">
        <f t="shared" si="16"/>
        <v>-2.1859330409516797E-3</v>
      </c>
      <c r="R8" s="4">
        <f>_xlfn.T.DIST.RT(E8*(G8-0.2),F8)</f>
        <v>1.4970444511258471E-2</v>
      </c>
      <c r="S8">
        <f>R8*M8</f>
        <v>2.6233412908512888E-3</v>
      </c>
      <c r="T8">
        <f>(1-R8)*P8</f>
        <v>-2.153208651656786E-3</v>
      </c>
      <c r="U8" s="2">
        <f>_xlfn.T.DIST.RT(E8*(G8-0.4),F8)</f>
        <v>2.3138881994467318E-2</v>
      </c>
      <c r="V8">
        <f>U8*M8</f>
        <v>4.0547349488902224E-3</v>
      </c>
      <c r="W8">
        <f>(1-U8)*P8</f>
        <v>-2.1353529942692915E-3</v>
      </c>
      <c r="X8" s="2">
        <f>_xlfn.T.DIST.RT(E8*(G8-0.8),F8)</f>
        <v>6.0910376543346148E-2</v>
      </c>
      <c r="Y8">
        <f>X8*M8</f>
        <v>1.0673611308421149E-2</v>
      </c>
      <c r="Z8">
        <f>(1-X8)*P8</f>
        <v>-2.0527870363287711E-3</v>
      </c>
      <c r="AB8">
        <f>C8*M8</f>
        <v>1.7523469586213113E-3</v>
      </c>
      <c r="AC8">
        <f>D8*P8</f>
        <v>-2.1640737105421627E-3</v>
      </c>
      <c r="AD8">
        <f>(C8+0.01)*M8</f>
        <v>3.5046939172426227E-3</v>
      </c>
      <c r="AE8">
        <f>(D8-0.01)*P8</f>
        <v>-2.1422143801326462E-3</v>
      </c>
      <c r="AF8">
        <f>(C8+0.05)*M8</f>
        <v>1.0514081751727869E-2</v>
      </c>
      <c r="AG8">
        <f>(D8-0.05)*P8</f>
        <v>-2.0547770584945788E-3</v>
      </c>
      <c r="AH8">
        <f>(C8+0.1)*M8</f>
        <v>1.9275816544834425E-2</v>
      </c>
      <c r="AI8">
        <f>(D8-0.1)*P8</f>
        <v>-1.9454804064469948E-3</v>
      </c>
      <c r="AK8">
        <f t="shared" si="4"/>
        <v>4.7013263919450272E-4</v>
      </c>
      <c r="AL8">
        <f t="shared" si="5"/>
        <v>1.9193819546209309E-3</v>
      </c>
      <c r="AM8">
        <f t="shared" si="6"/>
        <v>8.620824272092379E-3</v>
      </c>
      <c r="AN8">
        <f t="shared" si="7"/>
        <v>-4.1172675192085138E-4</v>
      </c>
      <c r="AO8">
        <f t="shared" si="8"/>
        <v>1.3624795371099765E-3</v>
      </c>
      <c r="AP8">
        <f t="shared" si="9"/>
        <v>8.459304693233291E-3</v>
      </c>
      <c r="AQ8">
        <f t="shared" si="13"/>
        <v>1.7330336138387432E-2</v>
      </c>
    </row>
    <row r="9" spans="1:43" x14ac:dyDescent="0.3">
      <c r="A9">
        <v>5</v>
      </c>
      <c r="B9">
        <v>0.2</v>
      </c>
      <c r="C9">
        <v>5.0000000000000001E-3</v>
      </c>
      <c r="D9">
        <f t="shared" ref="D9" si="17">1-C9</f>
        <v>0.995</v>
      </c>
      <c r="E9">
        <f t="shared" ref="E9" si="18">SQRT(A9)</f>
        <v>2.2360679774997898</v>
      </c>
      <c r="F9">
        <f t="shared" ref="F9" si="19">A9-1</f>
        <v>4</v>
      </c>
      <c r="G9">
        <f t="shared" ref="G9" si="20">-_xlfn.T.INV(C9,F9)/E9</f>
        <v>2.0590138214393465</v>
      </c>
      <c r="H9">
        <f t="shared" ref="H9" si="21">G9-B9</f>
        <v>1.8590138214393466</v>
      </c>
      <c r="I9" s="2">
        <f>_xlfn.T.DIST.RT(E9*H9,F9)</f>
        <v>7.0904777439126159E-3</v>
      </c>
      <c r="J9">
        <f>1-I9</f>
        <v>0.99290952225608742</v>
      </c>
      <c r="L9">
        <f>I9/C9</f>
        <v>1.4180955487825231</v>
      </c>
      <c r="M9">
        <f t="shared" ref="M9" si="22">LOG10(L9)</f>
        <v>0.15170549383082546</v>
      </c>
      <c r="O9">
        <f>J9/D9</f>
        <v>0.9978990173428014</v>
      </c>
      <c r="P9">
        <f t="shared" ref="P9" si="23">LOG10(O9)</f>
        <v>-9.1340503500855655E-4</v>
      </c>
      <c r="R9" s="4">
        <f>_xlfn.T.DIST.RT(E9*(G9-0.2),F9)</f>
        <v>7.0904777439126159E-3</v>
      </c>
      <c r="S9">
        <f>R9*M9</f>
        <v>1.0756644276367405E-3</v>
      </c>
      <c r="T9">
        <f>(1-R9)*P9</f>
        <v>-9.0692855693665065E-4</v>
      </c>
      <c r="U9" s="2">
        <f>_xlfn.T.DIST.RT(E9*(G9-0.4),F9)</f>
        <v>1.0330016398522594E-2</v>
      </c>
      <c r="V9">
        <f>U9*M9</f>
        <v>1.5671202390183953E-3</v>
      </c>
      <c r="W9">
        <f>(1-U9)*P9</f>
        <v>-9.0396954601842505E-4</v>
      </c>
      <c r="X9" s="2">
        <f>_xlfn.T.DIST.RT(E9*(G9-0.8),F9)</f>
        <v>2.4030027949376219E-2</v>
      </c>
      <c r="Y9">
        <f>X9*M9</f>
        <v>3.6454872568286575E-3</v>
      </c>
      <c r="Z9">
        <f>(1-X9)*P9</f>
        <v>-8.9145588648819989E-4</v>
      </c>
      <c r="AB9">
        <f>C9*M9</f>
        <v>7.5852746915412727E-4</v>
      </c>
      <c r="AC9">
        <f>D9*P9</f>
        <v>-9.0883800983351381E-4</v>
      </c>
      <c r="AD9">
        <f>(C9+0.01)*M9</f>
        <v>2.2755824074623819E-3</v>
      </c>
      <c r="AE9">
        <f>(D9-0.01)*P9</f>
        <v>-8.9970395948342822E-4</v>
      </c>
      <c r="AF9">
        <f>(C9+0.05)*M9</f>
        <v>8.3438021606954006E-3</v>
      </c>
      <c r="AG9">
        <f>(D9-0.05)*P9</f>
        <v>-8.6316775808308586E-4</v>
      </c>
      <c r="AH9">
        <f>(C9+0.1)*M9</f>
        <v>1.5929076852236674E-2</v>
      </c>
      <c r="AI9">
        <f>(D9-0.1)*P9</f>
        <v>-8.1749750633265813E-4</v>
      </c>
      <c r="AK9">
        <f t="shared" ref="AK9" si="24">S9+T9</f>
        <v>1.6873587070008987E-4</v>
      </c>
      <c r="AL9">
        <f t="shared" ref="AL9" si="25">V9+W9</f>
        <v>6.6315069299997028E-4</v>
      </c>
      <c r="AM9">
        <f t="shared" ref="AM9" si="26">Y9+Z9</f>
        <v>2.7540313703404576E-3</v>
      </c>
      <c r="AN9">
        <f t="shared" ref="AN9" si="27">AB9+AC9</f>
        <v>-1.5031054067938653E-4</v>
      </c>
      <c r="AO9">
        <f t="shared" ref="AO9" si="28">AD9+AE9</f>
        <v>1.3758784479789537E-3</v>
      </c>
      <c r="AP9">
        <f t="shared" ref="AP9" si="29">AF9+AG9</f>
        <v>7.4806344026123149E-3</v>
      </c>
      <c r="AQ9">
        <f t="shared" ref="AQ9" si="30">AH9+AI9</f>
        <v>1.5111579345904015E-2</v>
      </c>
    </row>
    <row r="10" spans="1:43" x14ac:dyDescent="0.3">
      <c r="A10">
        <v>5</v>
      </c>
      <c r="B10">
        <v>0.2</v>
      </c>
      <c r="C10">
        <v>2E-3</v>
      </c>
      <c r="D10">
        <f t="shared" si="0"/>
        <v>0.998</v>
      </c>
      <c r="E10">
        <f t="shared" si="1"/>
        <v>2.2360679774997898</v>
      </c>
      <c r="F10">
        <f t="shared" si="2"/>
        <v>4</v>
      </c>
      <c r="G10">
        <f t="shared" si="14"/>
        <v>2.6615348500015168</v>
      </c>
      <c r="H10">
        <f t="shared" si="3"/>
        <v>2.4615348500015166</v>
      </c>
      <c r="I10" s="2">
        <f>_xlfn.T.DIST.RT(E10*H10,F10)</f>
        <v>2.6568061553184788E-3</v>
      </c>
      <c r="J10">
        <f>1-I10</f>
        <v>0.99734319384468151</v>
      </c>
      <c r="L10">
        <f>I10/C10</f>
        <v>1.3284030776592395</v>
      </c>
      <c r="M10">
        <f t="shared" si="15"/>
        <v>0.12332987310586928</v>
      </c>
      <c r="O10">
        <f>J10/D10</f>
        <v>0.99934187759988125</v>
      </c>
      <c r="P10">
        <f t="shared" si="16"/>
        <v>-2.8591301999304319E-4</v>
      </c>
      <c r="R10" s="4">
        <f>_xlfn.T.DIST.RT(E10*(G10-0.2),F10)</f>
        <v>2.6568061553184788E-3</v>
      </c>
      <c r="S10">
        <f>R10*M10</f>
        <v>3.2766356600232043E-4</v>
      </c>
      <c r="T10">
        <f>(1-R10)*P10</f>
        <v>-2.8515340452163999E-4</v>
      </c>
      <c r="U10" s="2">
        <f>_xlfn.T.DIST.RT(E10*(G10-0.4),F10)</f>
        <v>3.5979655714344664E-3</v>
      </c>
      <c r="V10">
        <f>U10*M10</f>
        <v>4.4373663736429916E-4</v>
      </c>
      <c r="W10">
        <f>(1-U10)*P10</f>
        <v>-2.8488431479068338E-4</v>
      </c>
      <c r="X10" s="2">
        <f>_xlfn.T.DIST.RT(E10*(G10-0.8),F10)</f>
        <v>7.0581825811474484E-3</v>
      </c>
      <c r="Y10">
        <f>X10*M10</f>
        <v>8.7048476209097175E-4</v>
      </c>
      <c r="Z10">
        <f>(1-X10)*P10</f>
        <v>-2.8389499369560505E-4</v>
      </c>
      <c r="AB10">
        <f>C10*M10</f>
        <v>2.4665974621173854E-4</v>
      </c>
      <c r="AC10">
        <f>D10*P10</f>
        <v>-2.8534119395305711E-4</v>
      </c>
      <c r="AD10">
        <f>(C10+0.01)*M10</f>
        <v>1.4799584772704315E-3</v>
      </c>
      <c r="AE10">
        <f>(D10-0.01)*P10</f>
        <v>-2.8248206375312666E-4</v>
      </c>
      <c r="AF10">
        <f>(C10+0.05)*M10</f>
        <v>6.4131534015052028E-3</v>
      </c>
      <c r="AG10">
        <f>(D10-0.05)*P10</f>
        <v>-2.7104554295340492E-4</v>
      </c>
      <c r="AH10">
        <f>(C10+0.1)*M10</f>
        <v>1.2579647056798668E-2</v>
      </c>
      <c r="AI10">
        <f>(D10-0.1)*P10</f>
        <v>-2.5674989195375279E-4</v>
      </c>
      <c r="AK10">
        <f t="shared" si="4"/>
        <v>4.2510161480680442E-5</v>
      </c>
      <c r="AL10">
        <f t="shared" si="5"/>
        <v>1.5885232257361578E-4</v>
      </c>
      <c r="AM10">
        <f t="shared" si="6"/>
        <v>5.8658976839536664E-4</v>
      </c>
      <c r="AN10">
        <f t="shared" si="7"/>
        <v>-3.8681447741318567E-5</v>
      </c>
      <c r="AO10">
        <f t="shared" si="8"/>
        <v>1.1974764135173049E-3</v>
      </c>
      <c r="AP10">
        <f t="shared" si="9"/>
        <v>6.1421078585517982E-3</v>
      </c>
      <c r="AQ10">
        <f t="shared" si="13"/>
        <v>1.2322897164844915E-2</v>
      </c>
    </row>
    <row r="11" spans="1:43" x14ac:dyDescent="0.3">
      <c r="A11">
        <v>5</v>
      </c>
      <c r="B11">
        <v>0.2</v>
      </c>
      <c r="C11">
        <v>1E-3</v>
      </c>
      <c r="D11">
        <f t="shared" si="0"/>
        <v>0.999</v>
      </c>
      <c r="E11">
        <f t="shared" si="1"/>
        <v>2.2360679774997898</v>
      </c>
      <c r="F11">
        <f t="shared" si="2"/>
        <v>4</v>
      </c>
      <c r="G11">
        <f t="shared" si="14"/>
        <v>3.2079446116852157</v>
      </c>
      <c r="H11">
        <f t="shared" si="3"/>
        <v>3.0079446116852155</v>
      </c>
      <c r="I11" s="2">
        <f>_xlfn.T.DIST.RT(E11*H11,F11)</f>
        <v>1.2725233521668497E-3</v>
      </c>
      <c r="J11">
        <f>1-I11</f>
        <v>0.99872747664783312</v>
      </c>
      <c r="L11">
        <f>I11/C11</f>
        <v>1.2725233521668498</v>
      </c>
      <c r="M11">
        <f t="shared" si="15"/>
        <v>0.10466576085095516</v>
      </c>
      <c r="O11">
        <f>J11/D11</f>
        <v>0.99972720385168479</v>
      </c>
      <c r="P11">
        <f t="shared" si="16"/>
        <v>-1.1849002444381267E-4</v>
      </c>
      <c r="R11" s="4">
        <f>_xlfn.T.DIST.RT(E11*(G11-0.2),F11)</f>
        <v>1.2725233521668497E-3</v>
      </c>
      <c r="S11">
        <f>R11*M11</f>
        <v>1.3318962485515129E-4</v>
      </c>
      <c r="T11">
        <f>(1-R11)*P11</f>
        <v>-1.1833924312070909E-4</v>
      </c>
      <c r="U11" s="2">
        <f>_xlfn.T.DIST.RT(E11*(G11-0.4),F11)</f>
        <v>1.6426121130239644E-3</v>
      </c>
      <c r="V11">
        <f>U11*M11</f>
        <v>1.7192524659264839E-4</v>
      </c>
      <c r="W11">
        <f>(1-U11)*P11</f>
        <v>-1.1829539129438875E-4</v>
      </c>
      <c r="X11" s="2">
        <f>_xlfn.T.DIST.RT(E11*(G11-0.8),F11)</f>
        <v>2.875994977112481E-3</v>
      </c>
      <c r="Y11">
        <f>X11*M11</f>
        <v>3.0101820248300319E-4</v>
      </c>
      <c r="Z11">
        <f>(1-X11)*P11</f>
        <v>-1.1814924772867434E-4</v>
      </c>
      <c r="AB11">
        <f>C11*M11</f>
        <v>1.0466576085095517E-4</v>
      </c>
      <c r="AC11">
        <f>D11*P11</f>
        <v>-1.1837153441936886E-4</v>
      </c>
      <c r="AD11">
        <f>(C11+0.01)*M11</f>
        <v>1.1513233693605067E-3</v>
      </c>
      <c r="AE11">
        <f>(D11-0.01)*P11</f>
        <v>-1.1718663417493072E-4</v>
      </c>
      <c r="AF11">
        <f>(C11+0.05)*M11</f>
        <v>5.3379538033987133E-3</v>
      </c>
      <c r="AG11">
        <f>(D11-0.05)*P11</f>
        <v>-1.1244703319717822E-4</v>
      </c>
      <c r="AH11">
        <f>(C11+0.1)*M11</f>
        <v>1.0571241845946473E-2</v>
      </c>
      <c r="AI11">
        <f>(D11-0.1)*P11</f>
        <v>-1.0652253197498759E-4</v>
      </c>
      <c r="AK11">
        <f t="shared" si="4"/>
        <v>1.4850381734442201E-5</v>
      </c>
      <c r="AL11">
        <f t="shared" si="5"/>
        <v>5.3629855298259637E-5</v>
      </c>
      <c r="AM11">
        <f t="shared" si="6"/>
        <v>1.8286895475432886E-4</v>
      </c>
      <c r="AN11">
        <f t="shared" si="7"/>
        <v>-1.370577356841369E-5</v>
      </c>
      <c r="AO11">
        <f t="shared" si="8"/>
        <v>1.034136735185576E-3</v>
      </c>
      <c r="AP11">
        <f t="shared" si="9"/>
        <v>5.2255067702015349E-3</v>
      </c>
      <c r="AQ11">
        <f t="shared" si="13"/>
        <v>1.0464719313971485E-2</v>
      </c>
    </row>
    <row r="12" spans="1:43" x14ac:dyDescent="0.3">
      <c r="A12">
        <v>5</v>
      </c>
      <c r="B12">
        <v>0.2</v>
      </c>
      <c r="C12">
        <v>1E-4</v>
      </c>
      <c r="D12">
        <f t="shared" si="0"/>
        <v>0.99990000000000001</v>
      </c>
      <c r="E12">
        <f t="shared" si="1"/>
        <v>2.2360679774997898</v>
      </c>
      <c r="F12">
        <f t="shared" si="2"/>
        <v>4</v>
      </c>
      <c r="G12">
        <f t="shared" si="14"/>
        <v>5.8288351928682287</v>
      </c>
      <c r="H12">
        <f t="shared" si="3"/>
        <v>5.6288351928682285</v>
      </c>
      <c r="I12" s="2">
        <f>_xlfn.T.DIST.RT(E12*H12,F12)</f>
        <v>1.1466963869199729E-4</v>
      </c>
      <c r="J12">
        <f>1-I12</f>
        <v>0.999885330361308</v>
      </c>
      <c r="L12">
        <f>I12/C12</f>
        <v>1.1466963869199729</v>
      </c>
      <c r="M12">
        <f t="shared" si="15"/>
        <v>5.9448444108910967E-2</v>
      </c>
      <c r="O12">
        <f>J12/D12</f>
        <v>0.99998532889419744</v>
      </c>
      <c r="P12">
        <f t="shared" si="16"/>
        <v>-6.3716270329898875E-6</v>
      </c>
      <c r="R12" s="4">
        <f>_xlfn.T.DIST.RT(E12*(G12-0.2),F12)</f>
        <v>1.1466963869199729E-4</v>
      </c>
      <c r="S12">
        <f>R12*M12</f>
        <v>6.8169316067702151E-6</v>
      </c>
      <c r="T12">
        <f>(1-R12)*P12</f>
        <v>-6.3708964008201345E-6</v>
      </c>
      <c r="U12" s="2">
        <f>_xlfn.T.DIST.RT(E12*(G12-0.4),F12)</f>
        <v>1.3211681813024798E-4</v>
      </c>
      <c r="V12">
        <f>U12*M12</f>
        <v>7.8541392784632011E-6</v>
      </c>
      <c r="W12">
        <f>(1-U12)*P12</f>
        <v>-6.3707852338999761E-6</v>
      </c>
      <c r="X12" s="2">
        <f>_xlfn.T.DIST.RT(E12*(G12-0.8),F12)</f>
        <v>1.7813702209586003E-4</v>
      </c>
      <c r="Y12">
        <f>X12*M12</f>
        <v>1.0589968801793573E-5</v>
      </c>
      <c r="Z12">
        <f>(1-X12)*P12</f>
        <v>-6.3704920103243245E-6</v>
      </c>
      <c r="AB12">
        <f>C12*M12</f>
        <v>5.9448444108910966E-6</v>
      </c>
      <c r="AC12">
        <f>D12*P12</f>
        <v>-6.3709898702865889E-6</v>
      </c>
      <c r="AD12">
        <f>(C12+0.01)*M12</f>
        <v>6.0042928550000079E-4</v>
      </c>
      <c r="AE12">
        <f>(D12-0.01)*P12</f>
        <v>-6.30727359995669E-6</v>
      </c>
      <c r="AF12">
        <f>(C12+0.05)*M12</f>
        <v>2.9783670498564397E-3</v>
      </c>
      <c r="AG12">
        <f>(D12-0.05)*P12</f>
        <v>-6.0524085186370938E-6</v>
      </c>
      <c r="AH12">
        <f>(C12+0.1)*M12</f>
        <v>5.9507892553019885E-3</v>
      </c>
      <c r="AI12">
        <f>(D12-0.1)*P12</f>
        <v>-5.7338271669876003E-6</v>
      </c>
      <c r="AK12">
        <f t="shared" si="4"/>
        <v>4.4603520595008061E-7</v>
      </c>
      <c r="AL12">
        <f t="shared" si="5"/>
        <v>1.483354044563225E-6</v>
      </c>
      <c r="AM12">
        <f t="shared" si="6"/>
        <v>4.219476791469248E-6</v>
      </c>
      <c r="AN12">
        <f t="shared" si="7"/>
        <v>-4.2614545939549226E-7</v>
      </c>
      <c r="AO12">
        <f t="shared" si="8"/>
        <v>5.9412201190004409E-4</v>
      </c>
      <c r="AP12">
        <f t="shared" si="9"/>
        <v>2.9723146413378025E-3</v>
      </c>
      <c r="AQ12">
        <f t="shared" si="13"/>
        <v>5.9450554281350008E-3</v>
      </c>
    </row>
    <row r="13" spans="1:43" x14ac:dyDescent="0.3">
      <c r="A13">
        <v>5</v>
      </c>
      <c r="B13">
        <v>0.2</v>
      </c>
      <c r="C13">
        <v>1.0000000000000001E-5</v>
      </c>
      <c r="D13">
        <f t="shared" si="0"/>
        <v>0.99999000000000005</v>
      </c>
      <c r="E13">
        <f t="shared" si="1"/>
        <v>2.2360679774997898</v>
      </c>
      <c r="F13">
        <f t="shared" si="2"/>
        <v>4</v>
      </c>
      <c r="G13">
        <f t="shared" si="14"/>
        <v>10.434469316499781</v>
      </c>
      <c r="H13">
        <f t="shared" si="3"/>
        <v>10.234469316499782</v>
      </c>
      <c r="I13" s="2">
        <f>_xlfn.T.DIST.RT(E13*H13,F13)</f>
        <v>1.0799701559135624E-5</v>
      </c>
      <c r="J13">
        <f>1-I13</f>
        <v>0.99998920029844085</v>
      </c>
      <c r="L13">
        <f>I13/C13</f>
        <v>1.0799701559135624</v>
      </c>
      <c r="M13">
        <f t="shared" si="15"/>
        <v>3.3411754282189864E-2</v>
      </c>
      <c r="O13">
        <f>J13/D13</f>
        <v>0.99999920029044376</v>
      </c>
      <c r="P13">
        <f t="shared" si="16"/>
        <v>-3.4730958627499135E-7</v>
      </c>
      <c r="R13" s="4">
        <f>_xlfn.T.DIST.RT(E13*(G13-0.2),F13)</f>
        <v>1.0799701559135624E-5</v>
      </c>
      <c r="S13">
        <f>R13*M13</f>
        <v>3.6083697481482222E-7</v>
      </c>
      <c r="T13">
        <f>(1-R13)*P13</f>
        <v>-3.4730583543511096E-7</v>
      </c>
      <c r="U13" s="2">
        <f>_xlfn.T.DIST.RT(E13*(G13-0.4),F13)</f>
        <v>1.1680851710298526E-5</v>
      </c>
      <c r="V13">
        <f>U13*M13</f>
        <v>3.9027774715119157E-7</v>
      </c>
      <c r="W13">
        <f>(1-U13)*P13</f>
        <v>-3.4730552940321652E-7</v>
      </c>
      <c r="X13" s="2">
        <f>_xlfn.T.DIST.RT(E13*(G13-0.8),F13)</f>
        <v>1.3729583265924345E-5</v>
      </c>
      <c r="Y13">
        <f>X13*M13</f>
        <v>4.5872946247793002E-7</v>
      </c>
      <c r="Z13">
        <f>(1-X13)*P13</f>
        <v>-3.473048178591075E-7</v>
      </c>
      <c r="AB13">
        <f>C13*M13</f>
        <v>3.3411754282189868E-7</v>
      </c>
      <c r="AC13">
        <f>D13*P13</f>
        <v>-3.4730611317912861E-7</v>
      </c>
      <c r="AD13">
        <f>(C13+0.01)*M13</f>
        <v>3.3445166036472052E-4</v>
      </c>
      <c r="AE13">
        <f>(D13-0.01)*P13</f>
        <v>-3.4383301731637868E-7</v>
      </c>
      <c r="AF13">
        <f>(C13+0.05)*M13</f>
        <v>1.6709218316523153E-3</v>
      </c>
      <c r="AG13">
        <f>(D13-0.05)*P13</f>
        <v>-3.2994063386537901E-7</v>
      </c>
      <c r="AH13">
        <f>(C13+0.1)*M13</f>
        <v>3.3415095457618085E-3</v>
      </c>
      <c r="AI13">
        <f>(D13-0.1)*P13</f>
        <v>-3.1257515455162947E-7</v>
      </c>
      <c r="AK13">
        <f t="shared" si="4"/>
        <v>1.3531139379711257E-8</v>
      </c>
      <c r="AL13">
        <f t="shared" si="5"/>
        <v>4.2972217747975054E-8</v>
      </c>
      <c r="AM13">
        <f t="shared" si="6"/>
        <v>1.1142464461882251E-7</v>
      </c>
      <c r="AN13">
        <f t="shared" si="7"/>
        <v>-1.3188570357229927E-8</v>
      </c>
      <c r="AO13">
        <f t="shared" si="8"/>
        <v>3.3410782734740412E-4</v>
      </c>
      <c r="AP13">
        <f t="shared" si="9"/>
        <v>1.6705918910184499E-3</v>
      </c>
      <c r="AQ13">
        <f t="shared" si="13"/>
        <v>3.3411969706072567E-3</v>
      </c>
    </row>
    <row r="14" spans="1:43" x14ac:dyDescent="0.3">
      <c r="A14">
        <v>5</v>
      </c>
      <c r="B14">
        <v>0.2</v>
      </c>
      <c r="C14">
        <v>9.9999999999999995E-7</v>
      </c>
      <c r="D14">
        <f t="shared" si="0"/>
        <v>0.99999899999999997</v>
      </c>
      <c r="E14">
        <f t="shared" si="1"/>
        <v>2.2360679774997898</v>
      </c>
      <c r="F14">
        <f t="shared" si="2"/>
        <v>4</v>
      </c>
      <c r="G14">
        <f t="shared" si="14"/>
        <v>18.594181647796031</v>
      </c>
      <c r="H14">
        <f t="shared" si="3"/>
        <v>18.394181647796032</v>
      </c>
      <c r="I14" s="2">
        <f>_xlfn.T.DIST.RT(E14*H14,F14)</f>
        <v>1.044118658125251E-6</v>
      </c>
      <c r="J14">
        <f>1-I14</f>
        <v>0.99999895588134191</v>
      </c>
      <c r="L14">
        <f>I14/C14</f>
        <v>1.0441186581252511</v>
      </c>
      <c r="M14">
        <f t="shared" si="15"/>
        <v>1.8749856559660442E-2</v>
      </c>
      <c r="O14">
        <f>J14/D14</f>
        <v>0.99999995588129786</v>
      </c>
      <c r="P14">
        <f t="shared" si="16"/>
        <v>-1.9160509309089606E-8</v>
      </c>
      <c r="R14" s="4">
        <f>_xlfn.T.DIST.RT(E14*(G14-0.2),F14)</f>
        <v>1.044118658125251E-6</v>
      </c>
      <c r="S14">
        <f>R14*M14</f>
        <v>1.9577075071113595E-8</v>
      </c>
      <c r="T14">
        <f>(1-R14)*P14</f>
        <v>-1.9160489303244338E-8</v>
      </c>
      <c r="U14" s="2">
        <f>_xlfn.T.DIST.RT(E14*(G14-0.4),F14)</f>
        <v>1.0906964224164526E-6</v>
      </c>
      <c r="V14">
        <f>U14*M14</f>
        <v>2.04504014704433E-8</v>
      </c>
      <c r="W14">
        <f>(1-U14)*P14</f>
        <v>-1.9160488410790652E-8</v>
      </c>
      <c r="X14" s="2">
        <f>_xlfn.T.DIST.RT(E14*(G14-0.8),F14)</f>
        <v>1.1919075602228616E-6</v>
      </c>
      <c r="Y14">
        <f>X14*M14</f>
        <v>2.2348095786553494E-8</v>
      </c>
      <c r="Z14">
        <f>(1-X14)*P14</f>
        <v>-1.9160486471533703E-8</v>
      </c>
      <c r="AB14">
        <f>C14*M14</f>
        <v>1.8749856559660439E-8</v>
      </c>
      <c r="AC14">
        <f>D14*P14</f>
        <v>-1.9160490148580297E-8</v>
      </c>
      <c r="AD14">
        <f>(C14+0.01)*M14</f>
        <v>1.8751731545316408E-4</v>
      </c>
      <c r="AE14">
        <f>(D14-0.01)*P14</f>
        <v>-1.8968885055489399E-8</v>
      </c>
      <c r="AF14">
        <f>(C14+0.05)*M14</f>
        <v>9.3751157783958177E-4</v>
      </c>
      <c r="AG14">
        <f>(D14-0.05)*P14</f>
        <v>-1.8202464683125814E-8</v>
      </c>
      <c r="AH14">
        <f>(C14+0.1)*M14</f>
        <v>1.875004405822604E-3</v>
      </c>
      <c r="AI14">
        <f>(D14-0.1)*P14</f>
        <v>-1.7244439217671337E-8</v>
      </c>
      <c r="AK14">
        <f t="shared" si="4"/>
        <v>4.1658576786925769E-10</v>
      </c>
      <c r="AL14">
        <f t="shared" si="5"/>
        <v>1.2899130596526484E-9</v>
      </c>
      <c r="AM14">
        <f t="shared" si="6"/>
        <v>3.1876093150197914E-9</v>
      </c>
      <c r="AN14">
        <f t="shared" si="7"/>
        <v>-4.1063358891985797E-10</v>
      </c>
      <c r="AO14">
        <f t="shared" si="8"/>
        <v>1.874983465681086E-4</v>
      </c>
      <c r="AP14">
        <f t="shared" si="9"/>
        <v>9.3749337537489866E-4</v>
      </c>
      <c r="AQ14">
        <f t="shared" si="13"/>
        <v>1.8749871613833863E-3</v>
      </c>
    </row>
    <row r="15" spans="1:43" x14ac:dyDescent="0.3">
      <c r="A15">
        <v>5</v>
      </c>
      <c r="B15">
        <v>0.2</v>
      </c>
      <c r="C15">
        <v>9.9999999999999995E-8</v>
      </c>
      <c r="D15">
        <f t="shared" si="0"/>
        <v>0.99999990000000005</v>
      </c>
      <c r="E15">
        <f t="shared" si="1"/>
        <v>2.2360679774997898</v>
      </c>
      <c r="F15">
        <f t="shared" si="2"/>
        <v>4</v>
      </c>
      <c r="G15">
        <f t="shared" si="14"/>
        <v>33.087436872332674</v>
      </c>
      <c r="H15">
        <f t="shared" si="3"/>
        <v>32.887436872332671</v>
      </c>
      <c r="I15" s="2">
        <f>_xlfn.T.DIST.RT(E15*H15,F15)</f>
        <v>1.0245329842058896E-7</v>
      </c>
      <c r="J15">
        <f>1-I15</f>
        <v>0.9999998975467016</v>
      </c>
      <c r="L15">
        <f>I15/C15</f>
        <v>1.0245329842058897</v>
      </c>
      <c r="M15">
        <f t="shared" si="15"/>
        <v>1.0525944804578753E-2</v>
      </c>
      <c r="O15">
        <f>J15/D15</f>
        <v>0.99999999754670132</v>
      </c>
      <c r="P15">
        <f t="shared" si="16"/>
        <v>-1.0654540784590025E-9</v>
      </c>
      <c r="R15" s="4">
        <f>_xlfn.T.DIST.RT(E15*(G15-0.2),F15)</f>
        <v>1.0245329842058896E-7</v>
      </c>
      <c r="S15">
        <f>R15*M15</f>
        <v>1.0784177642221549E-9</v>
      </c>
      <c r="T15">
        <f>(1-R15)*P15</f>
        <v>-1.0654539692997178E-9</v>
      </c>
      <c r="U15" s="2">
        <f>_xlfn.T.DIST.RT(E15*(G15-0.4),F15)</f>
        <v>1.0498228419054925E-7</v>
      </c>
      <c r="V15">
        <f>U15*M15</f>
        <v>1.105037728848322E-9</v>
      </c>
      <c r="W15">
        <f>(1-U15)*P15</f>
        <v>-1.0654539666051997E-9</v>
      </c>
      <c r="X15" s="2">
        <f>_xlfn.T.DIST.RT(E15*(G15-0.8),F15)</f>
        <v>1.1027871729416898E-7</v>
      </c>
      <c r="Y15">
        <f>X15*M15</f>
        <v>1.160787691358167E-9</v>
      </c>
      <c r="Z15">
        <f>(1-X15)*P15</f>
        <v>-1.0654539609620935E-9</v>
      </c>
      <c r="AB15">
        <f>C15*M15</f>
        <v>1.0525944804578754E-9</v>
      </c>
      <c r="AC15">
        <f>D15*P15</f>
        <v>-1.0654539719135946E-9</v>
      </c>
      <c r="AD15">
        <f>(C15+0.01)*M15</f>
        <v>1.0526050064026799E-4</v>
      </c>
      <c r="AE15">
        <f>(D15-0.01)*P15</f>
        <v>-1.0547994311290046E-9</v>
      </c>
      <c r="AF15">
        <f>(C15+0.05)*M15</f>
        <v>5.262982928234182E-4</v>
      </c>
      <c r="AG15">
        <f>(D15-0.05)*P15</f>
        <v>-1.0121812679906445E-9</v>
      </c>
      <c r="AH15">
        <f>(C15+0.1)*M15</f>
        <v>1.0525955330523559E-3</v>
      </c>
      <c r="AI15">
        <f>(D15-0.1)*P15</f>
        <v>-9.5890856406769452E-10</v>
      </c>
      <c r="AK15">
        <f t="shared" si="4"/>
        <v>1.2963794922437109E-11</v>
      </c>
      <c r="AL15">
        <f t="shared" si="5"/>
        <v>3.9583762243122309E-11</v>
      </c>
      <c r="AM15">
        <f t="shared" si="6"/>
        <v>9.5333730396073506E-11</v>
      </c>
      <c r="AN15">
        <f t="shared" si="7"/>
        <v>-1.2859491455719279E-11</v>
      </c>
      <c r="AO15">
        <f t="shared" si="8"/>
        <v>1.0525944584083685E-4</v>
      </c>
      <c r="AP15">
        <f t="shared" si="9"/>
        <v>5.2629728064215026E-4</v>
      </c>
      <c r="AQ15">
        <f t="shared" si="13"/>
        <v>1.0525945741437918E-3</v>
      </c>
    </row>
    <row r="16" spans="1:43" x14ac:dyDescent="0.3">
      <c r="A16">
        <v>10</v>
      </c>
      <c r="B16">
        <v>0.2</v>
      </c>
      <c r="C16">
        <v>0.5</v>
      </c>
      <c r="D16">
        <f t="shared" si="0"/>
        <v>0.5</v>
      </c>
      <c r="E16">
        <f t="shared" ref="E16:E44" si="31">SQRT(A16)</f>
        <v>3.1622776601683795</v>
      </c>
      <c r="F16">
        <f t="shared" ref="F16:F44" si="32">A16-1</f>
        <v>9</v>
      </c>
      <c r="G16">
        <f>-_xlfn.T.INV(C16,F16)/E16</f>
        <v>0</v>
      </c>
      <c r="H16">
        <f t="shared" ref="H16:H44" si="33">G16-B16</f>
        <v>-0.2</v>
      </c>
      <c r="I16" s="2">
        <f>_xlfn.T.DIST.RT(E16*H16,F16)</f>
        <v>0.72858952131991961</v>
      </c>
      <c r="J16">
        <f>1-I16</f>
        <v>0.27141047868008039</v>
      </c>
      <c r="L16">
        <f>I16/C16</f>
        <v>1.4571790426398392</v>
      </c>
      <c r="M16">
        <f>LOG10(L16)</f>
        <v>0.16351291652861868</v>
      </c>
      <c r="O16">
        <f>J16/D16</f>
        <v>0.54282095736016078</v>
      </c>
      <c r="P16">
        <f>LOG10(O16)</f>
        <v>-0.26534339334433593</v>
      </c>
      <c r="R16" s="4">
        <f>_xlfn.T.DIST.RT(E16*(G16-0.2),F16)</f>
        <v>0.72858952131991961</v>
      </c>
      <c r="S16">
        <f>R16*M16</f>
        <v>0.11913379758321026</v>
      </c>
      <c r="T16">
        <f>(1-R16)*P16</f>
        <v>-7.2016977402183074E-2</v>
      </c>
      <c r="U16" s="2">
        <f>_xlfn.T.DIST.RT(E16*(G16-0.4),F16)</f>
        <v>0.88116371841050722</v>
      </c>
      <c r="V16">
        <f>U16*M16</f>
        <v>0.14408164953650451</v>
      </c>
      <c r="W16">
        <f>(1-U16)*P16</f>
        <v>-3.1532422209379046E-2</v>
      </c>
      <c r="X16" s="2">
        <f>_xlfn.T.DIST.RT(E16*(G16-0.8),F16)</f>
        <v>0.98387760951977166</v>
      </c>
      <c r="Y16">
        <f>X16*M16</f>
        <v>0.16087669743978331</v>
      </c>
      <c r="Z16">
        <f>(1-X16)*P16</f>
        <v>-4.2779697988462066E-3</v>
      </c>
      <c r="AB16">
        <f>C16*M16</f>
        <v>8.1756458264309342E-2</v>
      </c>
      <c r="AC16">
        <f>D16*P16</f>
        <v>-0.13267169667216797</v>
      </c>
      <c r="AD16">
        <f>(C16+0.01)*M16</f>
        <v>8.3391587429595529E-2</v>
      </c>
      <c r="AE16">
        <f>(D16-0.01)*P16</f>
        <v>-0.1300182627387246</v>
      </c>
      <c r="AF16">
        <f>(C16+0.05)*M16</f>
        <v>8.9932104090740289E-2</v>
      </c>
      <c r="AG16">
        <f>(D16-0.05)*P16</f>
        <v>-0.11940452700495117</v>
      </c>
      <c r="AH16">
        <f>(C16+0.1)*M16</f>
        <v>9.8107749917171208E-2</v>
      </c>
      <c r="AI16">
        <f>(D16-0.1)*P16</f>
        <v>-0.10613735733773438</v>
      </c>
      <c r="AK16">
        <f t="shared" si="4"/>
        <v>4.7116820181027183E-2</v>
      </c>
      <c r="AL16">
        <f t="shared" si="5"/>
        <v>0.11254922732712547</v>
      </c>
      <c r="AM16">
        <f t="shared" si="6"/>
        <v>0.1565987276409371</v>
      </c>
      <c r="AN16">
        <f t="shared" si="7"/>
        <v>-5.0915238407858623E-2</v>
      </c>
      <c r="AO16">
        <f t="shared" si="8"/>
        <v>-4.6626675309129076E-2</v>
      </c>
      <c r="AP16">
        <f t="shared" si="9"/>
        <v>-2.9472422914210886E-2</v>
      </c>
      <c r="AQ16">
        <f t="shared" si="13"/>
        <v>-8.0296074205631757E-3</v>
      </c>
    </row>
    <row r="17" spans="1:43" x14ac:dyDescent="0.3">
      <c r="A17">
        <v>10</v>
      </c>
      <c r="B17">
        <v>0.2</v>
      </c>
      <c r="C17">
        <v>0.33456553999999999</v>
      </c>
      <c r="D17">
        <f t="shared" ref="D17:D45" si="34">1-C17</f>
        <v>0.66543445999999995</v>
      </c>
      <c r="E17">
        <f t="shared" si="31"/>
        <v>3.1622776601683795</v>
      </c>
      <c r="F17">
        <f t="shared" si="32"/>
        <v>9</v>
      </c>
      <c r="G17">
        <v>0.13967657166099201</v>
      </c>
      <c r="H17">
        <f t="shared" si="33"/>
        <v>-6.0323428339008001E-2</v>
      </c>
      <c r="I17" s="2">
        <v>0.573526113987885</v>
      </c>
      <c r="J17">
        <f>1-I17</f>
        <v>0.426473886012115</v>
      </c>
      <c r="L17">
        <f>I17/C17</f>
        <v>1.714241442761514</v>
      </c>
      <c r="M17">
        <f>LOG10(L17)</f>
        <v>0.23407199020932112</v>
      </c>
      <c r="O17">
        <f>J17/D17</f>
        <v>0.64089540239938136</v>
      </c>
      <c r="P17">
        <f>LOG10(O17)</f>
        <v>-0.19321284390936522</v>
      </c>
      <c r="R17" s="4">
        <f>_xlfn.T.DIST.RT(E17*(G17-0.2),F17)</f>
        <v>0.57352611398788533</v>
      </c>
      <c r="S17">
        <f>R17*M17</f>
        <v>0.13424639893816229</v>
      </c>
      <c r="T17">
        <f>(1-R17)*P17</f>
        <v>-8.2400232369479132E-2</v>
      </c>
      <c r="U17" s="2">
        <f>_xlfn.T.DIST.RT(E17*(G17-0.4),F17)</f>
        <v>0.78417132771808862</v>
      </c>
      <c r="V17">
        <f>U17*M17</f>
        <v>0.18355254334405879</v>
      </c>
      <c r="W17">
        <f>(1-U17)*P17</f>
        <v>-4.1700871568770483E-2</v>
      </c>
      <c r="X17" s="2">
        <f>_xlfn.T.DIST.RT(E17*(G17-0.8),F17)</f>
        <v>0.9668076062487001</v>
      </c>
      <c r="Y17">
        <f>X17*M17</f>
        <v>0.22630258054414293</v>
      </c>
      <c r="Z17">
        <f>(1-X17)*P17</f>
        <v>-6.4131967928480966E-3</v>
      </c>
      <c r="AB17">
        <f>C17*M17</f>
        <v>7.8312421803256232E-2</v>
      </c>
      <c r="AC17">
        <f>D17*P17</f>
        <v>-0.12857048445189273</v>
      </c>
      <c r="AD17">
        <f>(C17+0.01)*M17</f>
        <v>8.0653141705349443E-2</v>
      </c>
      <c r="AE17">
        <f>(D17-0.01)*P17</f>
        <v>-0.12663835601279907</v>
      </c>
      <c r="AF17">
        <f>(C17+0.05)*M17</f>
        <v>9.0016021313722286E-2</v>
      </c>
      <c r="AG17">
        <f>(D17-0.05)*P17</f>
        <v>-0.11890984225642445</v>
      </c>
      <c r="AH17">
        <f>(C17+0.1)*M17</f>
        <v>0.10171962082418835</v>
      </c>
      <c r="AI17">
        <f>(D17-0.1)*P17</f>
        <v>-0.1092492000609562</v>
      </c>
      <c r="AK17">
        <f t="shared" ref="AK17:AK45" si="35">S17+T17</f>
        <v>5.1846166568683155E-2</v>
      </c>
      <c r="AL17">
        <f t="shared" ref="AL17:AL45" si="36">V17+W17</f>
        <v>0.14185167177528832</v>
      </c>
      <c r="AM17">
        <f t="shared" ref="AM17:AM45" si="37">Y17+Z17</f>
        <v>0.21988938375129483</v>
      </c>
      <c r="AN17">
        <f t="shared" ref="AN17:AN45" si="38">AB17+AC17</f>
        <v>-5.0258062648636498E-2</v>
      </c>
      <c r="AO17">
        <f t="shared" ref="AO17:AO45" si="39">AD17+AE17</f>
        <v>-4.5985214307449632E-2</v>
      </c>
      <c r="AP17">
        <f t="shared" ref="AP17:AP45" si="40">AF17+AG17</f>
        <v>-2.8893820942702167E-2</v>
      </c>
      <c r="AQ17">
        <f t="shared" si="13"/>
        <v>-7.5295792367678499E-3</v>
      </c>
    </row>
    <row r="18" spans="1:43" x14ac:dyDescent="0.3">
      <c r="A18">
        <v>10</v>
      </c>
      <c r="B18">
        <v>0.2</v>
      </c>
      <c r="C18">
        <v>0.2</v>
      </c>
      <c r="D18">
        <f t="shared" si="34"/>
        <v>0.8</v>
      </c>
      <c r="E18">
        <f t="shared" si="31"/>
        <v>3.1622776601683795</v>
      </c>
      <c r="F18">
        <f t="shared" si="32"/>
        <v>9</v>
      </c>
      <c r="G18">
        <f t="shared" ref="G18:G30" si="41">-_xlfn.T.INV(C18,F18)/E18</f>
        <v>0.27935682903900877</v>
      </c>
      <c r="H18">
        <f t="shared" si="33"/>
        <v>7.9356829039008758E-2</v>
      </c>
      <c r="I18" s="2">
        <f>_xlfn.T.DIST.RT(E18*H18,F18)</f>
        <v>0.40374476246127033</v>
      </c>
      <c r="J18">
        <f>1-I18</f>
        <v>0.59625523753872967</v>
      </c>
      <c r="L18">
        <f>I18/C18</f>
        <v>2.0187238123063516</v>
      </c>
      <c r="M18">
        <f t="shared" ref="M18:M30" si="42">LOG10(L18)</f>
        <v>0.30507690586979674</v>
      </c>
      <c r="O18">
        <f>J18/D18</f>
        <v>0.745319046923412</v>
      </c>
      <c r="P18">
        <f t="shared" ref="P18:P30" si="43">LOG10(O18)</f>
        <v>-0.12765778006045461</v>
      </c>
      <c r="R18" s="4">
        <f>_xlfn.T.DIST.RT(E18*(G18-0.2),F18)</f>
        <v>0.40374476246127033</v>
      </c>
      <c r="S18">
        <f>R18*M18</f>
        <v>0.12317320289282041</v>
      </c>
      <c r="T18">
        <f>(1-R18)*P18</f>
        <v>-7.611661997361327E-2</v>
      </c>
      <c r="U18" s="2">
        <f>_xlfn.T.DIST.RT(E18*(G18-0.4),F18)</f>
        <v>0.64416109630628737</v>
      </c>
      <c r="V18">
        <f>U18*M18</f>
        <v>0.19651867414281832</v>
      </c>
      <c r="W18">
        <f>(1-U18)*P18</f>
        <v>-4.542560450468526E-2</v>
      </c>
      <c r="X18" s="2">
        <f>_xlfn.T.DIST.RT(E18*(G18-0.8),F18)</f>
        <v>0.93295783309967206</v>
      </c>
      <c r="Y18">
        <f>X18*M18</f>
        <v>0.28462388902903818</v>
      </c>
      <c r="Z18">
        <f>(1-X18)*P18</f>
        <v>-8.5584541969383546E-3</v>
      </c>
      <c r="AB18">
        <f>C18*M18</f>
        <v>6.1015381173959354E-2</v>
      </c>
      <c r="AC18">
        <f>D18*P18</f>
        <v>-0.10212622404836369</v>
      </c>
      <c r="AD18">
        <f>(C18+0.01)*M18</f>
        <v>6.4066150232657326E-2</v>
      </c>
      <c r="AE18">
        <f>(D18-0.01)*P18</f>
        <v>-0.10084964624775915</v>
      </c>
      <c r="AF18">
        <f>(C18+0.05)*M18</f>
        <v>7.6269226467449186E-2</v>
      </c>
      <c r="AG18">
        <f>(D18-0.05)*P18</f>
        <v>-9.5743335045340966E-2</v>
      </c>
      <c r="AH18">
        <f>(C18+0.1)*M18</f>
        <v>9.1523071760939032E-2</v>
      </c>
      <c r="AI18">
        <f>(D18-0.1)*P18</f>
        <v>-8.9360446042318242E-2</v>
      </c>
      <c r="AK18">
        <f t="shared" si="35"/>
        <v>4.7056582919207141E-2</v>
      </c>
      <c r="AL18">
        <f t="shared" si="36"/>
        <v>0.15109306963813307</v>
      </c>
      <c r="AM18">
        <f t="shared" si="37"/>
        <v>0.27606543483209983</v>
      </c>
      <c r="AN18">
        <f t="shared" si="38"/>
        <v>-4.1110842874404335E-2</v>
      </c>
      <c r="AO18">
        <f t="shared" si="39"/>
        <v>-3.6783496015101821E-2</v>
      </c>
      <c r="AP18">
        <f t="shared" si="40"/>
        <v>-1.947410857789178E-2</v>
      </c>
      <c r="AQ18">
        <f t="shared" si="13"/>
        <v>2.1626257186207892E-3</v>
      </c>
    </row>
    <row r="19" spans="1:43" x14ac:dyDescent="0.3">
      <c r="A19">
        <v>10</v>
      </c>
      <c r="B19">
        <v>0.2</v>
      </c>
      <c r="C19">
        <v>0.1</v>
      </c>
      <c r="D19">
        <f t="shared" si="34"/>
        <v>0.9</v>
      </c>
      <c r="E19">
        <f t="shared" si="31"/>
        <v>3.1622776601683795</v>
      </c>
      <c r="F19">
        <f t="shared" si="32"/>
        <v>9</v>
      </c>
      <c r="G19">
        <f t="shared" si="41"/>
        <v>0.43735208828025268</v>
      </c>
      <c r="H19">
        <f t="shared" si="33"/>
        <v>0.23735208828025267</v>
      </c>
      <c r="I19" s="2">
        <f>_xlfn.T.DIST.RT(E19*H19,F19)</f>
        <v>0.23603799615413723</v>
      </c>
      <c r="J19">
        <f>1-I19</f>
        <v>0.76396200384586277</v>
      </c>
      <c r="L19">
        <f>I19/C19</f>
        <v>2.3603799615413723</v>
      </c>
      <c r="M19">
        <f t="shared" si="42"/>
        <v>0.37298191903722588</v>
      </c>
      <c r="O19">
        <f>J19/D19</f>
        <v>0.84884667093984745</v>
      </c>
      <c r="P19">
        <f t="shared" si="43"/>
        <v>-7.1170750249008721E-2</v>
      </c>
      <c r="R19" s="4">
        <f>_xlfn.T.DIST.RT(E19*(G19-0.2),F19)</f>
        <v>0.23603799615413723</v>
      </c>
      <c r="S19">
        <f>R19*M19</f>
        <v>8.803790477127145E-2</v>
      </c>
      <c r="T19">
        <f>(1-R19)*P19</f>
        <v>-5.4371748975446138E-2</v>
      </c>
      <c r="U19" s="2">
        <f>_xlfn.T.DIST.RT(E19*(G19-0.4),F19)</f>
        <v>0.45428430851040552</v>
      </c>
      <c r="V19">
        <f>U19*M19</f>
        <v>0.16943983317671021</v>
      </c>
      <c r="W19">
        <f>(1-U19)*P19</f>
        <v>-3.8838995185971018E-2</v>
      </c>
      <c r="X19" s="2">
        <f>_xlfn.T.DIST.RT(E19*(G19-0.8),F19)</f>
        <v>0.8594801592387783</v>
      </c>
      <c r="Y19">
        <f>X19*M19</f>
        <v>0.32057055916730004</v>
      </c>
      <c r="Z19">
        <f>(1-X19)*P19</f>
        <v>-1.0000902491847385E-2</v>
      </c>
      <c r="AB19">
        <f>C19*M19</f>
        <v>3.7298191903722591E-2</v>
      </c>
      <c r="AC19">
        <f>D19*P19</f>
        <v>-6.4053675224107848E-2</v>
      </c>
      <c r="AD19">
        <f>(C19+0.01)*M19</f>
        <v>4.1028011094094846E-2</v>
      </c>
      <c r="AE19">
        <f>(D19-0.01)*P19</f>
        <v>-6.3341967721617765E-2</v>
      </c>
      <c r="AF19">
        <f>(C19+0.05)*M19</f>
        <v>5.5947287855583894E-2</v>
      </c>
      <c r="AG19">
        <f>(D19-0.05)*P19</f>
        <v>-6.0495137711657411E-2</v>
      </c>
      <c r="AH19">
        <f>(C19+0.1)*M19</f>
        <v>7.4596383807445182E-2</v>
      </c>
      <c r="AI19">
        <f>(D19-0.1)*P19</f>
        <v>-5.6936600199206981E-2</v>
      </c>
      <c r="AK19">
        <f t="shared" si="35"/>
        <v>3.3666155795825312E-2</v>
      </c>
      <c r="AL19">
        <f t="shared" si="36"/>
        <v>0.13060083799073918</v>
      </c>
      <c r="AM19">
        <f t="shared" si="37"/>
        <v>0.31056965667545267</v>
      </c>
      <c r="AN19">
        <f t="shared" si="38"/>
        <v>-2.6755483320385257E-2</v>
      </c>
      <c r="AO19">
        <f t="shared" si="39"/>
        <v>-2.2313956627522918E-2</v>
      </c>
      <c r="AP19">
        <f t="shared" si="40"/>
        <v>-4.5478498560735173E-3</v>
      </c>
      <c r="AQ19">
        <f t="shared" si="13"/>
        <v>1.7659783608238201E-2</v>
      </c>
    </row>
    <row r="20" spans="1:43" x14ac:dyDescent="0.3">
      <c r="A20">
        <v>10</v>
      </c>
      <c r="B20">
        <v>0.2</v>
      </c>
      <c r="C20">
        <v>0.05</v>
      </c>
      <c r="D20">
        <f t="shared" si="34"/>
        <v>0.95</v>
      </c>
      <c r="E20">
        <f t="shared" si="31"/>
        <v>3.1622776601683795</v>
      </c>
      <c r="F20">
        <f t="shared" si="32"/>
        <v>9</v>
      </c>
      <c r="G20">
        <f t="shared" si="41"/>
        <v>0.57968120755045616</v>
      </c>
      <c r="H20">
        <f t="shared" si="33"/>
        <v>0.37968120755045615</v>
      </c>
      <c r="I20" s="2">
        <f>_xlfn.T.DIST.RT(E20*H20,F20)</f>
        <v>0.13026519081741106</v>
      </c>
      <c r="J20">
        <f>1-I20</f>
        <v>0.86973480918258894</v>
      </c>
      <c r="L20">
        <f>I20/C20</f>
        <v>2.6053038163482212</v>
      </c>
      <c r="M20">
        <f t="shared" si="42"/>
        <v>0.4158583756470009</v>
      </c>
      <c r="O20">
        <f>J20/D20</f>
        <v>0.91551032545535682</v>
      </c>
      <c r="P20">
        <f t="shared" si="43"/>
        <v>-3.8336753204997118E-2</v>
      </c>
      <c r="R20" s="4">
        <f>_xlfn.T.DIST.RT(E20*(G20-0.2),F20)</f>
        <v>0.13026519081741106</v>
      </c>
      <c r="S20">
        <f>R20*M20</f>
        <v>5.4171870656675183E-2</v>
      </c>
      <c r="T20">
        <f>(1-R20)*P20</f>
        <v>-3.3342808733428174E-2</v>
      </c>
      <c r="U20" s="2">
        <f>_xlfn.T.DIST.RT(E20*(G20-0.4),F20)</f>
        <v>0.29189696722150948</v>
      </c>
      <c r="V20">
        <f>U20*M20</f>
        <v>0.1213877986450228</v>
      </c>
      <c r="W20">
        <f>(1-U20)*P20</f>
        <v>-2.7146371211338977E-2</v>
      </c>
      <c r="X20" s="2">
        <f>_xlfn.T.DIST.RT(E20*(G20-0.8),F20)</f>
        <v>0.74820967955516515</v>
      </c>
      <c r="Y20">
        <f>X20*M20</f>
        <v>0.31114926198317405</v>
      </c>
      <c r="Z20">
        <f>(1-X20)*P20</f>
        <v>-9.652823374300774E-3</v>
      </c>
      <c r="AB20">
        <f>C20*M20</f>
        <v>2.0792918782350046E-2</v>
      </c>
      <c r="AC20">
        <f>D20*P20</f>
        <v>-3.6419915544747258E-2</v>
      </c>
      <c r="AD20">
        <f>(C20+0.01)*M20</f>
        <v>2.4951502538820055E-2</v>
      </c>
      <c r="AE20">
        <f>(D20-0.01)*P20</f>
        <v>-3.6036548012697289E-2</v>
      </c>
      <c r="AF20">
        <f>(C20+0.05)*M20</f>
        <v>4.1585837564700093E-2</v>
      </c>
      <c r="AG20">
        <f>(D20-0.05)*P20</f>
        <v>-3.4503077884497406E-2</v>
      </c>
      <c r="AH20">
        <f>(C20+0.1)*M20</f>
        <v>6.2378756347050146E-2</v>
      </c>
      <c r="AI20">
        <f>(D20-0.1)*P20</f>
        <v>-3.2586240224247547E-2</v>
      </c>
      <c r="AK20">
        <f t="shared" si="35"/>
        <v>2.082906192324701E-2</v>
      </c>
      <c r="AL20">
        <f t="shared" si="36"/>
        <v>9.4241427433683828E-2</v>
      </c>
      <c r="AM20">
        <f t="shared" si="37"/>
        <v>0.30149643860887326</v>
      </c>
      <c r="AN20">
        <f t="shared" si="38"/>
        <v>-1.5626996762397212E-2</v>
      </c>
      <c r="AO20">
        <f t="shared" si="39"/>
        <v>-1.1085045473877234E-2</v>
      </c>
      <c r="AP20">
        <f t="shared" si="40"/>
        <v>7.0827596802026868E-3</v>
      </c>
      <c r="AQ20">
        <f t="shared" si="13"/>
        <v>2.9792516122802599E-2</v>
      </c>
    </row>
    <row r="21" spans="1:43" x14ac:dyDescent="0.3">
      <c r="A21">
        <v>10</v>
      </c>
      <c r="B21">
        <v>0.2</v>
      </c>
      <c r="C21">
        <v>0.02</v>
      </c>
      <c r="D21">
        <f t="shared" si="34"/>
        <v>0.98</v>
      </c>
      <c r="E21">
        <f t="shared" si="31"/>
        <v>3.1622776601683795</v>
      </c>
      <c r="F21">
        <f t="shared" si="32"/>
        <v>9</v>
      </c>
      <c r="G21">
        <f t="shared" si="41"/>
        <v>0.75845363456439774</v>
      </c>
      <c r="H21">
        <f t="shared" si="33"/>
        <v>0.55845363456439778</v>
      </c>
      <c r="I21" s="2">
        <f>_xlfn.T.DIST.RT(E21*H21,F21)</f>
        <v>5.5604145400447162E-2</v>
      </c>
      <c r="J21">
        <f>1-I21</f>
        <v>0.94439585459955289</v>
      </c>
      <c r="L21">
        <f>I21/C21</f>
        <v>2.7802072700223581</v>
      </c>
      <c r="M21">
        <f t="shared" si="42"/>
        <v>0.44407717464881213</v>
      </c>
      <c r="O21">
        <f>J21/D21</f>
        <v>0.96366923938729887</v>
      </c>
      <c r="P21">
        <f t="shared" si="43"/>
        <v>-1.6072003605681253E-2</v>
      </c>
      <c r="R21" s="4">
        <f>_xlfn.T.DIST.RT(E21*(G21-0.2),F21)</f>
        <v>5.5604145400447162E-2</v>
      </c>
      <c r="S21">
        <f>R21*M21</f>
        <v>2.4692531788192317E-2</v>
      </c>
      <c r="T21">
        <f>(1-R21)*P21</f>
        <v>-1.5178333580314443E-2</v>
      </c>
      <c r="U21" s="2">
        <f>_xlfn.T.DIST.RT(E21*(G21-0.4),F21)</f>
        <v>0.14314141738935346</v>
      </c>
      <c r="V21">
        <f>U21*M21</f>
        <v>6.3565836209490426E-2</v>
      </c>
      <c r="W21">
        <f>(1-U21)*P21</f>
        <v>-1.3771434229277239E-2</v>
      </c>
      <c r="X21" s="2">
        <f>_xlfn.T.DIST.RT(E21*(G21-0.8),F21)</f>
        <v>0.5508180725573526</v>
      </c>
      <c r="Y21">
        <f>X21*M21</f>
        <v>0.24460573340677355</v>
      </c>
      <c r="Z21">
        <f>(1-X21)*P21</f>
        <v>-7.2192535574650838E-3</v>
      </c>
      <c r="AB21">
        <f>C21*M21</f>
        <v>8.8815434929762436E-3</v>
      </c>
      <c r="AC21">
        <f>D21*P21</f>
        <v>-1.5750563533567626E-2</v>
      </c>
      <c r="AD21">
        <f>(C21+0.01)*M21</f>
        <v>1.3322315239464363E-2</v>
      </c>
      <c r="AE21">
        <f>(D21-0.01)*P21</f>
        <v>-1.5589843497510815E-2</v>
      </c>
      <c r="AF21">
        <f>(C21+0.05)*M21</f>
        <v>3.1085402225416853E-2</v>
      </c>
      <c r="AG21">
        <f>(D21-0.05)*P21</f>
        <v>-1.4946963353283564E-2</v>
      </c>
      <c r="AH21">
        <f>(C21+0.1)*M21</f>
        <v>5.3289260957857458E-2</v>
      </c>
      <c r="AI21">
        <f>(D21-0.1)*P21</f>
        <v>-1.4143363172999503E-2</v>
      </c>
      <c r="AK21">
        <f t="shared" si="35"/>
        <v>9.5141982078778744E-3</v>
      </c>
      <c r="AL21">
        <f t="shared" si="36"/>
        <v>4.979440198021319E-2</v>
      </c>
      <c r="AM21">
        <f t="shared" si="37"/>
        <v>0.23738647984930847</v>
      </c>
      <c r="AN21">
        <f t="shared" si="38"/>
        <v>-6.8690200405913827E-3</v>
      </c>
      <c r="AO21">
        <f t="shared" si="39"/>
        <v>-2.2675282580464518E-3</v>
      </c>
      <c r="AP21">
        <f t="shared" si="40"/>
        <v>1.6138438872133287E-2</v>
      </c>
      <c r="AQ21">
        <f t="shared" si="13"/>
        <v>3.9145897784857955E-2</v>
      </c>
    </row>
    <row r="22" spans="1:43" x14ac:dyDescent="0.3">
      <c r="A22">
        <v>10</v>
      </c>
      <c r="B22">
        <v>0.2</v>
      </c>
      <c r="C22">
        <v>0.01</v>
      </c>
      <c r="D22">
        <f t="shared" si="34"/>
        <v>0.99</v>
      </c>
      <c r="E22">
        <f t="shared" si="31"/>
        <v>3.1622776601683795</v>
      </c>
      <c r="F22">
        <f t="shared" si="32"/>
        <v>9</v>
      </c>
      <c r="G22">
        <f t="shared" si="41"/>
        <v>0.89221701198609404</v>
      </c>
      <c r="H22">
        <f t="shared" si="33"/>
        <v>0.69221701198609398</v>
      </c>
      <c r="I22" s="2">
        <f>_xlfn.T.DIST.RT(E22*H22,F22)</f>
        <v>2.8171816279786436E-2</v>
      </c>
      <c r="J22">
        <f>1-I22</f>
        <v>0.97182818372021351</v>
      </c>
      <c r="L22">
        <f>I22/C22</f>
        <v>2.8171816279786435</v>
      </c>
      <c r="M22">
        <f t="shared" si="42"/>
        <v>0.44981484751331041</v>
      </c>
      <c r="O22">
        <f>J22/D22</f>
        <v>0.98164463002041769</v>
      </c>
      <c r="P22">
        <f t="shared" si="43"/>
        <v>-8.045704833845457E-3</v>
      </c>
      <c r="R22" s="4">
        <f>_xlfn.T.DIST.RT(E22*(G22-0.2),F22)</f>
        <v>2.8171816279786436E-2</v>
      </c>
      <c r="S22">
        <f>R22*M22</f>
        <v>1.2672101244065131E-2</v>
      </c>
      <c r="T22">
        <f>(1-R22)*P22</f>
        <v>-7.8190427154249727E-3</v>
      </c>
      <c r="U22" s="2">
        <f>_xlfn.T.DIST.RT(E22*(G22-0.4),F22)</f>
        <v>7.7003945877759439E-2</v>
      </c>
      <c r="V22">
        <f>U22*M22</f>
        <v>3.4637518172927567E-2</v>
      </c>
      <c r="W22">
        <f>(1-U22)*P22</f>
        <v>-7.4261538142715942E-3</v>
      </c>
      <c r="X22" s="2">
        <f>_xlfn.T.DIST.RT(E22*(G22-0.8),F22)</f>
        <v>0.38859506302224545</v>
      </c>
      <c r="Y22">
        <f>X22*M22</f>
        <v>0.17479582901777657</v>
      </c>
      <c r="Z22">
        <f>(1-X22)*P22</f>
        <v>-4.9191836568788965E-3</v>
      </c>
      <c r="AB22">
        <f>C22*M22</f>
        <v>4.4981484751331043E-3</v>
      </c>
      <c r="AC22">
        <f>D22*P22</f>
        <v>-7.9652477855070031E-3</v>
      </c>
      <c r="AD22">
        <f>(C22+0.01)*M22</f>
        <v>8.9962969502662086E-3</v>
      </c>
      <c r="AE22">
        <f>(D22-0.01)*P22</f>
        <v>-7.8847907371685476E-3</v>
      </c>
      <c r="AF22">
        <f>(C22+0.05)*M22</f>
        <v>2.6988890850798627E-2</v>
      </c>
      <c r="AG22">
        <f>(D22-0.05)*P22</f>
        <v>-7.5629625438147288E-3</v>
      </c>
      <c r="AH22">
        <f>(C22+0.1)*M22</f>
        <v>4.9479633226464148E-2</v>
      </c>
      <c r="AI22">
        <f>(D22-0.1)*P22</f>
        <v>-7.1606773021224571E-3</v>
      </c>
      <c r="AK22">
        <f t="shared" si="35"/>
        <v>4.8530585286401581E-3</v>
      </c>
      <c r="AL22">
        <f t="shared" si="36"/>
        <v>2.7211364358655975E-2</v>
      </c>
      <c r="AM22">
        <f t="shared" si="37"/>
        <v>0.16987664536089767</v>
      </c>
      <c r="AN22">
        <f t="shared" si="38"/>
        <v>-3.4670993103738989E-3</v>
      </c>
      <c r="AO22">
        <f t="shared" si="39"/>
        <v>1.111506213097661E-3</v>
      </c>
      <c r="AP22">
        <f t="shared" si="40"/>
        <v>1.9425928306983899E-2</v>
      </c>
      <c r="AQ22">
        <f t="shared" si="13"/>
        <v>4.2318955924341692E-2</v>
      </c>
    </row>
    <row r="23" spans="1:43" x14ac:dyDescent="0.3">
      <c r="A23">
        <v>10</v>
      </c>
      <c r="B23">
        <v>0.2</v>
      </c>
      <c r="C23">
        <v>5.0000000000000001E-3</v>
      </c>
      <c r="D23">
        <f t="shared" ref="D23" si="44">1-C23</f>
        <v>0.995</v>
      </c>
      <c r="E23">
        <f t="shared" ref="E23" si="45">SQRT(A23)</f>
        <v>3.1622776601683795</v>
      </c>
      <c r="F23">
        <f t="shared" ref="F23" si="46">A23-1</f>
        <v>9</v>
      </c>
      <c r="G23">
        <f t="shared" ref="G23" si="47">-_xlfn.T.INV(C23,F23)/E23</f>
        <v>1.0276882332397985</v>
      </c>
      <c r="H23">
        <f t="shared" ref="H23" si="48">G23-B23</f>
        <v>0.82768823323979857</v>
      </c>
      <c r="I23" s="2">
        <f>_xlfn.T.DIST.RT(E23*H23,F23)</f>
        <v>1.3965338864535834E-2</v>
      </c>
      <c r="J23">
        <f>1-I23</f>
        <v>0.98603466113546412</v>
      </c>
      <c r="L23">
        <f>I23/C23</f>
        <v>2.7930677729071669</v>
      </c>
      <c r="M23">
        <f t="shared" ref="M23" si="49">LOG10(L23)</f>
        <v>0.44608147384726576</v>
      </c>
      <c r="O23">
        <f>J23/D23</f>
        <v>0.99098960918137102</v>
      </c>
      <c r="P23">
        <f t="shared" ref="P23" si="50">LOG10(O23)</f>
        <v>-3.9308991967138803E-3</v>
      </c>
      <c r="R23" s="4">
        <f>_xlfn.T.DIST.RT(E23*(G23-0.2),F23)</f>
        <v>1.3965338864535834E-2</v>
      </c>
      <c r="S23">
        <f>R23*M23</f>
        <v>6.2296789434686459E-3</v>
      </c>
      <c r="T23">
        <f>(1-R23)*P23</f>
        <v>-3.8760028573894389E-3</v>
      </c>
      <c r="U23" s="2">
        <f>_xlfn.T.DIST.RT(E23*(G23-0.4),F23)</f>
        <v>3.921760791995027E-2</v>
      </c>
      <c r="V23">
        <f>U23*M23</f>
        <v>1.749424834169562E-2</v>
      </c>
      <c r="W23">
        <f>(1-U23)*P23</f>
        <v>-3.7767387332443081E-3</v>
      </c>
      <c r="X23" s="2">
        <f>_xlfn.T.DIST.RT(E23*(G23-0.8),F23)</f>
        <v>0.24489601991672633</v>
      </c>
      <c r="Y23">
        <f>X23*M23</f>
        <v>0.10924357750378264</v>
      </c>
      <c r="Z23">
        <f>(1-X23)*P23</f>
        <v>-2.9682376287447944E-3</v>
      </c>
      <c r="AB23">
        <f>C23*M23</f>
        <v>2.2304073692363288E-3</v>
      </c>
      <c r="AC23">
        <f>D23*P23</f>
        <v>-3.9112447007303109E-3</v>
      </c>
      <c r="AD23">
        <f>(C23+0.01)*M23</f>
        <v>6.691222107708986E-3</v>
      </c>
      <c r="AE23">
        <f>(D23-0.01)*P23</f>
        <v>-3.8719357087631718E-3</v>
      </c>
      <c r="AF23">
        <f>(C23+0.05)*M23</f>
        <v>2.4534481061599618E-2</v>
      </c>
      <c r="AG23">
        <f>(D23-0.05)*P23</f>
        <v>-3.7146997408946166E-3</v>
      </c>
      <c r="AH23">
        <f>(C23+0.1)*M23</f>
        <v>4.683855475396291E-2</v>
      </c>
      <c r="AI23">
        <f>(D23-0.1)*P23</f>
        <v>-3.5181547810589227E-3</v>
      </c>
      <c r="AK23">
        <f t="shared" ref="AK23" si="51">S23+T23</f>
        <v>2.353676086079207E-3</v>
      </c>
      <c r="AL23">
        <f t="shared" ref="AL23" si="52">V23+W23</f>
        <v>1.3717509608451313E-2</v>
      </c>
      <c r="AM23">
        <f t="shared" ref="AM23" si="53">Y23+Z23</f>
        <v>0.10627533987503784</v>
      </c>
      <c r="AN23">
        <f t="shared" ref="AN23" si="54">AB23+AC23</f>
        <v>-1.6808373314939821E-3</v>
      </c>
      <c r="AO23">
        <f t="shared" ref="AO23" si="55">AD23+AE23</f>
        <v>2.8192863989458142E-3</v>
      </c>
      <c r="AP23">
        <f t="shared" ref="AP23" si="56">AF23+AG23</f>
        <v>2.0819781320705E-2</v>
      </c>
      <c r="AQ23">
        <f t="shared" ref="AQ23" si="57">AH23+AI23</f>
        <v>4.3320399972903989E-2</v>
      </c>
    </row>
    <row r="24" spans="1:43" x14ac:dyDescent="0.3">
      <c r="A24">
        <v>10</v>
      </c>
      <c r="B24">
        <v>0.2</v>
      </c>
      <c r="C24">
        <v>2E-3</v>
      </c>
      <c r="D24">
        <f t="shared" si="34"/>
        <v>0.998</v>
      </c>
      <c r="E24">
        <f t="shared" si="31"/>
        <v>3.1622776601683795</v>
      </c>
      <c r="F24">
        <f t="shared" si="32"/>
        <v>9</v>
      </c>
      <c r="G24">
        <f t="shared" si="41"/>
        <v>1.212578616293893</v>
      </c>
      <c r="H24">
        <f t="shared" si="33"/>
        <v>1.012578616293893</v>
      </c>
      <c r="I24" s="2">
        <f>_xlfn.T.DIST.RT(E24*H24,F24)</f>
        <v>5.3978245323618185E-3</v>
      </c>
      <c r="J24">
        <f>1-I24</f>
        <v>0.99460217546763818</v>
      </c>
      <c r="L24">
        <f>I24/C24</f>
        <v>2.6989122661809093</v>
      </c>
      <c r="M24">
        <f t="shared" si="42"/>
        <v>0.43118876713050752</v>
      </c>
      <c r="O24">
        <f>J24/D24</f>
        <v>0.9965953662000383</v>
      </c>
      <c r="P24">
        <f t="shared" si="43"/>
        <v>-1.4811364690278524E-3</v>
      </c>
      <c r="R24" s="4">
        <f>_xlfn.T.DIST.RT(E24*(G24-0.2),F24)</f>
        <v>5.3978245323618185E-3</v>
      </c>
      <c r="S24">
        <f>R24*M24</f>
        <v>2.3274813052959007E-3</v>
      </c>
      <c r="T24">
        <f>(1-R24)*P24</f>
        <v>-1.4731415542595582E-3</v>
      </c>
      <c r="U24" s="2">
        <f>_xlfn.T.DIST.RT(E24*(G24-0.4),F24)</f>
        <v>1.5103825629710332E-2</v>
      </c>
      <c r="V24">
        <f>U24*M24</f>
        <v>6.5125999522289597E-3</v>
      </c>
      <c r="W24">
        <f>(1-U24)*P24</f>
        <v>-1.4587656420658509E-3</v>
      </c>
      <c r="X24" s="2">
        <f>_xlfn.T.DIST.RT(E24*(G24-0.8),F24)</f>
        <v>0.11218590065965345</v>
      </c>
      <c r="Y24">
        <f>X24*M24</f>
        <v>4.8373300194861558E-2</v>
      </c>
      <c r="Z24">
        <f>(1-X24)*P24</f>
        <v>-1.3149738402501037E-3</v>
      </c>
      <c r="AB24">
        <f>C24*M24</f>
        <v>8.6237753426101509E-4</v>
      </c>
      <c r="AC24">
        <f>D24*P24</f>
        <v>-1.4781741960897968E-3</v>
      </c>
      <c r="AD24">
        <f>(C24+0.01)*M24</f>
        <v>5.1742652055660901E-3</v>
      </c>
      <c r="AE24">
        <f>(D24-0.01)*P24</f>
        <v>-1.4633628313995182E-3</v>
      </c>
      <c r="AF24">
        <f>(C24+0.05)*M24</f>
        <v>2.2421815890786394E-2</v>
      </c>
      <c r="AG24">
        <f>(D24-0.05)*P24</f>
        <v>-1.4041173726384042E-3</v>
      </c>
      <c r="AH24">
        <f>(C24+0.1)*M24</f>
        <v>4.3981254247311773E-2</v>
      </c>
      <c r="AI24">
        <f>(D24-0.1)*P24</f>
        <v>-1.3300605491870115E-3</v>
      </c>
      <c r="AK24">
        <f t="shared" si="35"/>
        <v>8.5433975103634246E-4</v>
      </c>
      <c r="AL24">
        <f t="shared" si="36"/>
        <v>5.0538343101631088E-3</v>
      </c>
      <c r="AM24">
        <f t="shared" si="37"/>
        <v>4.7058326354611456E-2</v>
      </c>
      <c r="AN24">
        <f t="shared" si="38"/>
        <v>-6.1579666182878172E-4</v>
      </c>
      <c r="AO24">
        <f t="shared" si="39"/>
        <v>3.7109023741665722E-3</v>
      </c>
      <c r="AP24">
        <f t="shared" si="40"/>
        <v>2.1017698518147991E-2</v>
      </c>
      <c r="AQ24">
        <f t="shared" si="13"/>
        <v>4.2651193698124763E-2</v>
      </c>
    </row>
    <row r="25" spans="1:43" x14ac:dyDescent="0.3">
      <c r="A25">
        <v>10</v>
      </c>
      <c r="B25">
        <v>0.2</v>
      </c>
      <c r="C25">
        <v>1E-3</v>
      </c>
      <c r="D25">
        <f t="shared" si="34"/>
        <v>0.999</v>
      </c>
      <c r="E25">
        <f t="shared" si="31"/>
        <v>3.1622776601683795</v>
      </c>
      <c r="F25">
        <f t="shared" si="32"/>
        <v>9</v>
      </c>
      <c r="G25">
        <f t="shared" si="41"/>
        <v>1.3587692557335809</v>
      </c>
      <c r="H25">
        <f t="shared" si="33"/>
        <v>1.1587692557335809</v>
      </c>
      <c r="I25" s="2">
        <f>_xlfn.T.DIST.RT(E25*H25,F25)</f>
        <v>2.6001309052039248E-3</v>
      </c>
      <c r="J25">
        <f>1-I25</f>
        <v>0.99739986909479605</v>
      </c>
      <c r="L25">
        <f>I25/C25</f>
        <v>2.6001309052039248</v>
      </c>
      <c r="M25">
        <f t="shared" si="42"/>
        <v>0.41499521334642692</v>
      </c>
      <c r="O25">
        <f>J25/D25</f>
        <v>0.9983982673621582</v>
      </c>
      <c r="P25">
        <f t="shared" si="43"/>
        <v>-6.9618134324854757E-4</v>
      </c>
      <c r="R25" s="4">
        <f>_xlfn.T.DIST.RT(E25*(G25-0.2),F25)</f>
        <v>2.6001309052039248E-3</v>
      </c>
      <c r="S25">
        <f>R25*M25</f>
        <v>1.0790418797337409E-3</v>
      </c>
      <c r="T25">
        <f>(1-R25)*P25</f>
        <v>-6.9437118062234059E-4</v>
      </c>
      <c r="U25" s="2">
        <f>_xlfn.T.DIST.RT(E25*(G25-0.4),F25)</f>
        <v>7.1015248540735928E-3</v>
      </c>
      <c r="V25">
        <f>U25*M25</f>
        <v>2.9470988219012237E-3</v>
      </c>
      <c r="W25">
        <f>(1-U25)*P25</f>
        <v>-6.9123739413652564E-4</v>
      </c>
      <c r="X25" s="2">
        <f>_xlfn.T.DIST.RT(E25*(G25-0.8),F25)</f>
        <v>5.5516716976493602E-2</v>
      </c>
      <c r="Y25">
        <f>X25*M25</f>
        <v>2.3039171805953162E-2</v>
      </c>
      <c r="Z25">
        <f>(1-X25)*P25</f>
        <v>-6.5753164065110274E-4</v>
      </c>
      <c r="AB25">
        <f>C25*M25</f>
        <v>4.1499521334642693E-4</v>
      </c>
      <c r="AC25">
        <f>D25*P25</f>
        <v>-6.9548516190529898E-4</v>
      </c>
      <c r="AD25">
        <f>(C25+0.01)*M25</f>
        <v>4.5649473468106962E-3</v>
      </c>
      <c r="AE25">
        <f>(D25-0.01)*P25</f>
        <v>-6.8852334847281356E-4</v>
      </c>
      <c r="AF25">
        <f>(C25+0.05)*M25</f>
        <v>2.1164755880667775E-2</v>
      </c>
      <c r="AG25">
        <f>(D25-0.05)*P25</f>
        <v>-6.6067609474287166E-4</v>
      </c>
      <c r="AH25">
        <f>(C25+0.1)*M25</f>
        <v>4.1914516547989118E-2</v>
      </c>
      <c r="AI25">
        <f>(D25-0.1)*P25</f>
        <v>-6.2586702758044423E-4</v>
      </c>
      <c r="AK25">
        <f t="shared" si="35"/>
        <v>3.8467069911140032E-4</v>
      </c>
      <c r="AL25">
        <f t="shared" si="36"/>
        <v>2.2558614277646983E-3</v>
      </c>
      <c r="AM25">
        <f t="shared" si="37"/>
        <v>2.2381640165302058E-2</v>
      </c>
      <c r="AN25">
        <f t="shared" si="38"/>
        <v>-2.8048994855887205E-4</v>
      </c>
      <c r="AO25">
        <f t="shared" si="39"/>
        <v>3.8764239983378828E-3</v>
      </c>
      <c r="AP25">
        <f t="shared" si="40"/>
        <v>2.0504079785924903E-2</v>
      </c>
      <c r="AQ25">
        <f t="shared" si="13"/>
        <v>4.1288649520408671E-2</v>
      </c>
    </row>
    <row r="26" spans="1:43" x14ac:dyDescent="0.3">
      <c r="A26">
        <v>10</v>
      </c>
      <c r="B26">
        <v>0.2</v>
      </c>
      <c r="C26">
        <v>1E-4</v>
      </c>
      <c r="D26">
        <f t="shared" si="34"/>
        <v>0.99990000000000001</v>
      </c>
      <c r="E26">
        <f t="shared" si="31"/>
        <v>3.1622776601683795</v>
      </c>
      <c r="F26">
        <f t="shared" si="32"/>
        <v>9</v>
      </c>
      <c r="G26">
        <f t="shared" si="41"/>
        <v>1.9005706566454459</v>
      </c>
      <c r="H26">
        <f t="shared" si="33"/>
        <v>1.7005706566454459</v>
      </c>
      <c r="I26" s="2">
        <f>_xlfn.T.DIST.RT(E26*H26,F26)</f>
        <v>2.2292542782977487E-4</v>
      </c>
      <c r="J26">
        <f>1-I26</f>
        <v>0.99977707457217024</v>
      </c>
      <c r="L26">
        <f>I26/C26</f>
        <v>2.2292542782977485</v>
      </c>
      <c r="M26">
        <f t="shared" si="42"/>
        <v>0.34815960879570929</v>
      </c>
      <c r="O26">
        <f>J26/D26</f>
        <v>0.99987706227839812</v>
      </c>
      <c r="P26">
        <f t="shared" si="43"/>
        <v>-5.3394456273107483E-5</v>
      </c>
      <c r="R26" s="4">
        <f>_xlfn.T.DIST.RT(E26*(G26-0.2),F26)</f>
        <v>2.2292542782977487E-4</v>
      </c>
      <c r="S26">
        <f>R26*M26</f>
        <v>7.7613629743830546E-5</v>
      </c>
      <c r="T26">
        <f>(1-R26)*P26</f>
        <v>-5.3382553291099065E-5</v>
      </c>
      <c r="U26" s="2">
        <f>_xlfn.T.DIST.RT(E26*(G26-0.4),F26)</f>
        <v>5.2560420708021229E-4</v>
      </c>
      <c r="V26">
        <f>U26*M26</f>
        <v>1.8299415511842569E-4</v>
      </c>
      <c r="W26">
        <f>(1-U26)*P26</f>
        <v>-5.3366391922255572E-5</v>
      </c>
      <c r="X26" s="2">
        <f>_xlfn.T.DIST.RT(E26*(G26-0.8),F26)</f>
        <v>3.4675851614543356E-3</v>
      </c>
      <c r="Y26">
        <f>X26*M26</f>
        <v>1.207273093277748E-3</v>
      </c>
      <c r="Z26">
        <f>(1-X26)*P26</f>
        <v>-5.3209306448830936E-5</v>
      </c>
      <c r="AB26">
        <f>C26*M26</f>
        <v>3.4815960879570929E-5</v>
      </c>
      <c r="AC26">
        <f>D26*P26</f>
        <v>-5.3389116827480171E-5</v>
      </c>
      <c r="AD26">
        <f>(C26+0.01)*M26</f>
        <v>3.5164120488366635E-3</v>
      </c>
      <c r="AE26">
        <f>(D26-0.01)*P26</f>
        <v>-5.2855172264749098E-5</v>
      </c>
      <c r="AF26">
        <f>(C26+0.05)*M26</f>
        <v>1.7442796400665036E-2</v>
      </c>
      <c r="AG26">
        <f>(D26-0.05)*P26</f>
        <v>-5.0719394013824795E-5</v>
      </c>
      <c r="AH26">
        <f>(C26+0.1)*M26</f>
        <v>3.4850776840450501E-2</v>
      </c>
      <c r="AI26">
        <f>(D26-0.1)*P26</f>
        <v>-4.8049671200169426E-5</v>
      </c>
      <c r="AK26">
        <f t="shared" si="35"/>
        <v>2.423107645273148E-5</v>
      </c>
      <c r="AL26">
        <f t="shared" si="36"/>
        <v>1.296277631961701E-4</v>
      </c>
      <c r="AM26">
        <f t="shared" si="37"/>
        <v>1.154063786828917E-3</v>
      </c>
      <c r="AN26">
        <f t="shared" si="38"/>
        <v>-1.8573155947909242E-5</v>
      </c>
      <c r="AO26">
        <f t="shared" si="39"/>
        <v>3.4635568765719145E-3</v>
      </c>
      <c r="AP26">
        <f t="shared" si="40"/>
        <v>1.739207700665121E-2</v>
      </c>
      <c r="AQ26">
        <f t="shared" si="13"/>
        <v>3.4802727169250335E-2</v>
      </c>
    </row>
    <row r="27" spans="1:43" x14ac:dyDescent="0.3">
      <c r="A27">
        <v>10</v>
      </c>
      <c r="B27">
        <v>0.2</v>
      </c>
      <c r="C27">
        <v>1.0000000000000001E-5</v>
      </c>
      <c r="D27">
        <f t="shared" si="34"/>
        <v>0.99999000000000005</v>
      </c>
      <c r="E27">
        <f t="shared" si="31"/>
        <v>3.1622776601683795</v>
      </c>
      <c r="F27">
        <f t="shared" si="32"/>
        <v>9</v>
      </c>
      <c r="G27">
        <f t="shared" si="41"/>
        <v>2.5620956633401439</v>
      </c>
      <c r="H27">
        <f t="shared" si="33"/>
        <v>2.3620956633401438</v>
      </c>
      <c r="I27" s="2">
        <f>_xlfn.T.DIST.RT(E27*H27,F27)</f>
        <v>1.9062996937799218E-5</v>
      </c>
      <c r="J27">
        <f>1-I27</f>
        <v>0.99998093700306223</v>
      </c>
      <c r="L27">
        <f>I27/C27</f>
        <v>1.9062996937799217</v>
      </c>
      <c r="M27">
        <f t="shared" si="42"/>
        <v>0.28019117810888289</v>
      </c>
      <c r="O27">
        <f>J27/D27</f>
        <v>0.99999093691243135</v>
      </c>
      <c r="P27">
        <f t="shared" si="43"/>
        <v>-3.9360667565566044E-6</v>
      </c>
      <c r="R27" s="4">
        <f>_xlfn.T.DIST.RT(E27*(G27-0.2),F27)</f>
        <v>1.9062996937799218E-5</v>
      </c>
      <c r="S27">
        <f>R27*M27</f>
        <v>5.3412835702879898E-6</v>
      </c>
      <c r="T27">
        <f>(1-R27)*P27</f>
        <v>-3.9359917233280777E-6</v>
      </c>
      <c r="U27" s="2">
        <f>_xlfn.T.DIST.RT(E27*(G27-0.4),F27)</f>
        <v>3.7909471936612205E-5</v>
      </c>
      <c r="V27">
        <f>U27*M27</f>
        <v>1.0621899603405007E-5</v>
      </c>
      <c r="W27">
        <f>(1-U27)*P27</f>
        <v>-3.9359175423443564E-6</v>
      </c>
      <c r="X27" s="2">
        <f>_xlfn.T.DIST.RT(E27*(G27-0.8),F27)</f>
        <v>1.7319273863568814E-4</v>
      </c>
      <c r="Y27">
        <f>X27*M27</f>
        <v>4.8527077478237298E-5</v>
      </c>
      <c r="Z27">
        <f>(1-X27)*P27</f>
        <v>-3.9353850583755831E-6</v>
      </c>
      <c r="AB27">
        <f>C27*M27</f>
        <v>2.8019117810888293E-6</v>
      </c>
      <c r="AC27">
        <f>D27*P27</f>
        <v>-3.9360273958890386E-6</v>
      </c>
      <c r="AD27">
        <f>(C27+0.01)*M27</f>
        <v>2.8047136928699176E-3</v>
      </c>
      <c r="AE27">
        <f>(D27-0.01)*P27</f>
        <v>-3.8966667283234733E-6</v>
      </c>
      <c r="AF27">
        <f>(C27+0.05)*M27</f>
        <v>1.4012360817225235E-2</v>
      </c>
      <c r="AG27">
        <f>(D27-0.05)*P27</f>
        <v>-3.7392240580612087E-6</v>
      </c>
      <c r="AH27">
        <f>(C27+0.1)*M27</f>
        <v>2.8021919722669378E-2</v>
      </c>
      <c r="AI27">
        <f>(D27-0.1)*P27</f>
        <v>-3.5424207202333787E-6</v>
      </c>
      <c r="AK27">
        <f t="shared" si="35"/>
        <v>1.4052918469599121E-6</v>
      </c>
      <c r="AL27">
        <f t="shared" si="36"/>
        <v>6.685982061060651E-6</v>
      </c>
      <c r="AM27">
        <f t="shared" si="37"/>
        <v>4.4591692419861716E-5</v>
      </c>
      <c r="AN27">
        <f t="shared" si="38"/>
        <v>-1.1341156148002094E-6</v>
      </c>
      <c r="AO27">
        <f t="shared" si="39"/>
        <v>2.8008170261415942E-3</v>
      </c>
      <c r="AP27">
        <f t="shared" si="40"/>
        <v>1.4008621593167174E-2</v>
      </c>
      <c r="AQ27">
        <f t="shared" si="13"/>
        <v>2.8018377301949147E-2</v>
      </c>
    </row>
    <row r="28" spans="1:43" x14ac:dyDescent="0.3">
      <c r="A28">
        <v>10</v>
      </c>
      <c r="B28">
        <v>0.2</v>
      </c>
      <c r="C28">
        <v>9.9999999999999995E-7</v>
      </c>
      <c r="D28">
        <f t="shared" si="34"/>
        <v>0.99999899999999997</v>
      </c>
      <c r="E28">
        <f t="shared" si="31"/>
        <v>3.1622776601683795</v>
      </c>
      <c r="F28">
        <f t="shared" si="32"/>
        <v>9</v>
      </c>
      <c r="G28">
        <f t="shared" si="41"/>
        <v>3.3900123777678304</v>
      </c>
      <c r="H28">
        <f t="shared" si="33"/>
        <v>3.1900123777678302</v>
      </c>
      <c r="I28" s="2">
        <f>_xlfn.T.DIST.RT(E28*H28,F28)</f>
        <v>1.6636137091698298E-6</v>
      </c>
      <c r="J28">
        <f>1-I28</f>
        <v>0.99999833638629088</v>
      </c>
      <c r="L28">
        <f>I28/C28</f>
        <v>1.66361370916983</v>
      </c>
      <c r="M28">
        <f t="shared" si="42"/>
        <v>0.22105249055336551</v>
      </c>
      <c r="O28">
        <f>J28/D28</f>
        <v>0.99999933638562732</v>
      </c>
      <c r="P28">
        <f t="shared" si="43"/>
        <v>-2.8820415579296634E-7</v>
      </c>
      <c r="R28" s="4">
        <f>_xlfn.T.DIST.RT(E28*(G28-0.2),F28)</f>
        <v>1.6636137091698298E-6</v>
      </c>
      <c r="S28">
        <f>R28*M28</f>
        <v>3.6774595373071317E-7</v>
      </c>
      <c r="T28">
        <f>(1-R28)*P28</f>
        <v>-2.8820367633258176E-7</v>
      </c>
      <c r="U28" s="2">
        <f>_xlfn.T.DIST.RT(E28*(G28-0.4),F28)</f>
        <v>2.8461255762455466E-6</v>
      </c>
      <c r="V28">
        <f>U28*M28</f>
        <v>6.2914314705671062E-7</v>
      </c>
      <c r="W28">
        <f>(1-U28)*P28</f>
        <v>-2.8820333552774735E-7</v>
      </c>
      <c r="X28" s="2">
        <f>_xlfn.T.DIST.RT(E28*(G28-0.8),F28)</f>
        <v>9.1674571929052881E-6</v>
      </c>
      <c r="Y28">
        <f>X28*M28</f>
        <v>2.0264892445330789E-6</v>
      </c>
      <c r="Z28">
        <f>(1-X28)*P28</f>
        <v>-2.882015136937053E-7</v>
      </c>
      <c r="AB28">
        <f>C28*M28</f>
        <v>2.210524905533655E-7</v>
      </c>
      <c r="AC28">
        <f>D28*P28</f>
        <v>-2.8820386758881056E-7</v>
      </c>
      <c r="AD28">
        <f>(C28+0.01)*M28</f>
        <v>2.2107459580242082E-3</v>
      </c>
      <c r="AE28">
        <f>(D28-0.01)*P28</f>
        <v>-2.8532182603088089E-7</v>
      </c>
      <c r="AF28">
        <f>(C28+0.05)*M28</f>
        <v>1.1052845580158829E-2</v>
      </c>
      <c r="AG28">
        <f>(D28-0.05)*P28</f>
        <v>-2.737936597991622E-7</v>
      </c>
      <c r="AH28">
        <f>(C28+0.1)*M28</f>
        <v>2.2105470107827107E-2</v>
      </c>
      <c r="AI28">
        <f>(D28-0.1)*P28</f>
        <v>-2.5938345200951394E-7</v>
      </c>
      <c r="AK28">
        <f t="shared" si="35"/>
        <v>7.954227739813141E-8</v>
      </c>
      <c r="AL28">
        <f t="shared" si="36"/>
        <v>3.4093981152896327E-7</v>
      </c>
      <c r="AM28">
        <f t="shared" si="37"/>
        <v>1.7382877308393736E-6</v>
      </c>
      <c r="AN28">
        <f t="shared" si="38"/>
        <v>-6.7151377035445055E-8</v>
      </c>
      <c r="AO28">
        <f t="shared" si="39"/>
        <v>2.2104606361981775E-3</v>
      </c>
      <c r="AP28">
        <f t="shared" si="40"/>
        <v>1.105257178649903E-2</v>
      </c>
      <c r="AQ28">
        <f t="shared" si="13"/>
        <v>2.2105210724375098E-2</v>
      </c>
    </row>
    <row r="29" spans="1:43" x14ac:dyDescent="0.3">
      <c r="A29">
        <v>10</v>
      </c>
      <c r="B29">
        <v>0.2</v>
      </c>
      <c r="C29">
        <v>9.9999999999999995E-8</v>
      </c>
      <c r="D29">
        <f t="shared" si="34"/>
        <v>0.99999990000000005</v>
      </c>
      <c r="E29">
        <f t="shared" si="31"/>
        <v>3.1622776601683795</v>
      </c>
      <c r="F29">
        <f t="shared" si="32"/>
        <v>9</v>
      </c>
      <c r="G29">
        <f t="shared" si="41"/>
        <v>4.4400651204431076</v>
      </c>
      <c r="H29">
        <f t="shared" si="33"/>
        <v>4.2400651204431075</v>
      </c>
      <c r="I29" s="2">
        <f>_xlfn.T.DIST.RT(E29*H29,F29)</f>
        <v>1.4882365281659089E-7</v>
      </c>
      <c r="J29">
        <f>1-I29</f>
        <v>0.99999985117634715</v>
      </c>
      <c r="L29">
        <f>I29/C29</f>
        <v>1.4882365281659089</v>
      </c>
      <c r="M29">
        <f t="shared" si="42"/>
        <v>0.17267195991541678</v>
      </c>
      <c r="O29">
        <f>J29/D29</f>
        <v>0.99999995117634222</v>
      </c>
      <c r="P29">
        <f t="shared" si="43"/>
        <v>-2.1203845679270203E-8</v>
      </c>
      <c r="R29" s="4">
        <f>_xlfn.T.DIST.RT(E29*(G29-0.2),F29)</f>
        <v>1.4882365281659089E-7</v>
      </c>
      <c r="S29">
        <f>R29*M29</f>
        <v>2.5697671813612287E-8</v>
      </c>
      <c r="T29">
        <f>(1-R29)*P29</f>
        <v>-2.1203842523636435E-8</v>
      </c>
      <c r="U29" s="2">
        <f>_xlfn.T.DIST.RT(E29*(G29-0.4),F29)</f>
        <v>2.2539811170781628E-7</v>
      </c>
      <c r="V29">
        <f>U29*M29</f>
        <v>3.8919933709822685E-8</v>
      </c>
      <c r="W29">
        <f>(1-U29)*P29</f>
        <v>-2.1203840899963425E-8</v>
      </c>
      <c r="X29" s="2">
        <f>_xlfn.T.DIST.RT(E29*(G29-0.8),F29)</f>
        <v>5.4833774604892825E-7</v>
      </c>
      <c r="Y29">
        <f>X29*M29</f>
        <v>9.4682553305870527E-8</v>
      </c>
      <c r="Z29">
        <f>(1-X29)*P29</f>
        <v>-2.1203834052401256E-8</v>
      </c>
      <c r="AB29">
        <f>C29*M29</f>
        <v>1.7267195991541679E-8</v>
      </c>
      <c r="AC29">
        <f>D29*P29</f>
        <v>-2.1203843558885635E-8</v>
      </c>
      <c r="AD29">
        <f>(C29+0.01)*M29</f>
        <v>1.7267368663501593E-3</v>
      </c>
      <c r="AE29">
        <f>(D29-0.01)*P29</f>
        <v>-2.0991805102092935E-8</v>
      </c>
      <c r="AF29">
        <f>(C29+0.05)*M29</f>
        <v>8.6336152629668313E-3</v>
      </c>
      <c r="AG29">
        <f>(D29-0.05)*P29</f>
        <v>-2.0143651274922125E-8</v>
      </c>
      <c r="AH29">
        <f>(C29+0.1)*M29</f>
        <v>1.726721325873767E-2</v>
      </c>
      <c r="AI29">
        <f>(D29-0.1)*P29</f>
        <v>-1.9083458990958615E-8</v>
      </c>
      <c r="AK29">
        <f t="shared" si="35"/>
        <v>4.493829289975852E-9</v>
      </c>
      <c r="AL29">
        <f t="shared" si="36"/>
        <v>1.7716092809859259E-8</v>
      </c>
      <c r="AM29">
        <f t="shared" si="37"/>
        <v>7.3478719253469268E-8</v>
      </c>
      <c r="AN29">
        <f t="shared" si="38"/>
        <v>-3.9366475673439559E-9</v>
      </c>
      <c r="AO29">
        <f t="shared" si="39"/>
        <v>1.7267158745450572E-3</v>
      </c>
      <c r="AP29">
        <f t="shared" si="40"/>
        <v>8.6335951193155566E-3</v>
      </c>
      <c r="AQ29">
        <f t="shared" si="13"/>
        <v>1.726719417527868E-2</v>
      </c>
    </row>
    <row r="30" spans="1:43" x14ac:dyDescent="0.3">
      <c r="A30">
        <v>20</v>
      </c>
      <c r="B30">
        <v>0.2</v>
      </c>
      <c r="C30">
        <v>0.5</v>
      </c>
      <c r="D30">
        <f t="shared" si="34"/>
        <v>0.5</v>
      </c>
      <c r="E30">
        <f t="shared" si="31"/>
        <v>4.4721359549995796</v>
      </c>
      <c r="F30">
        <f t="shared" si="32"/>
        <v>19</v>
      </c>
      <c r="G30">
        <f t="shared" si="41"/>
        <v>0</v>
      </c>
      <c r="H30">
        <f t="shared" si="33"/>
        <v>-0.2</v>
      </c>
      <c r="I30" s="2">
        <f>_xlfn.T.DIST.RT(E30*H30,F30)</f>
        <v>0.80885793231628456</v>
      </c>
      <c r="J30">
        <f>1-I30</f>
        <v>0.19114206768371544</v>
      </c>
      <c r="L30">
        <f>I30/C30</f>
        <v>1.6177158646325691</v>
      </c>
      <c r="M30">
        <f t="shared" si="42"/>
        <v>0.20890224455783915</v>
      </c>
      <c r="O30">
        <f>J30/D30</f>
        <v>0.38228413536743089</v>
      </c>
      <c r="P30">
        <f t="shared" si="43"/>
        <v>-0.41761372464731944</v>
      </c>
      <c r="R30" s="4">
        <f>_xlfn.T.DIST.RT(E30*(G30-0.2),F30)</f>
        <v>0.80885793231628456</v>
      </c>
      <c r="S30">
        <f>R30*M30</f>
        <v>0.16897223758928459</v>
      </c>
      <c r="T30">
        <f>(1-R30)*P30</f>
        <v>-7.9823550822186437E-2</v>
      </c>
      <c r="U30" s="2">
        <f>_xlfn.T.DIST.RT(E30*(G30-0.4),F30)</f>
        <v>0.95520273944023049</v>
      </c>
      <c r="V30">
        <f>U30*M30</f>
        <v>0.19954399627686092</v>
      </c>
      <c r="W30">
        <f>(1-U30)*P30</f>
        <v>-1.8707950836361811E-2</v>
      </c>
      <c r="X30" s="2">
        <f>_xlfn.T.DIST.RT(E30*(G30-0.8),F30)</f>
        <v>0.99899614628692357</v>
      </c>
      <c r="Y30">
        <f>X30*M30</f>
        <v>0.20869253726396977</v>
      </c>
      <c r="Z30">
        <f>(1-X30)*P30</f>
        <v>-4.1922308811888955E-4</v>
      </c>
      <c r="AB30">
        <f>C30*M30</f>
        <v>0.10445112227891958</v>
      </c>
      <c r="AC30">
        <f>D30*P30</f>
        <v>-0.20880686232365972</v>
      </c>
      <c r="AD30">
        <f>(C30+0.01)*M30</f>
        <v>0.10654014472449796</v>
      </c>
      <c r="AE30">
        <f>(D30-0.01)*P30</f>
        <v>-0.20463072507718652</v>
      </c>
      <c r="AF30">
        <f>(C30+0.05)*M30</f>
        <v>0.11489623450681154</v>
      </c>
      <c r="AG30">
        <f>(D30-0.05)*P30</f>
        <v>-0.18792617609129375</v>
      </c>
      <c r="AH30">
        <f>(C30+0.1)*M30</f>
        <v>0.12534134673470348</v>
      </c>
      <c r="AI30">
        <f>(D30-0.1)*P30</f>
        <v>-0.16704548985892778</v>
      </c>
      <c r="AK30">
        <f t="shared" si="35"/>
        <v>8.9148686767098154E-2</v>
      </c>
      <c r="AL30">
        <f t="shared" si="36"/>
        <v>0.18083604544049911</v>
      </c>
      <c r="AM30">
        <f t="shared" si="37"/>
        <v>0.20827331417585088</v>
      </c>
      <c r="AN30">
        <f t="shared" si="38"/>
        <v>-0.10435574004474014</v>
      </c>
      <c r="AO30">
        <f t="shared" si="39"/>
        <v>-9.8090580352688556E-2</v>
      </c>
      <c r="AP30">
        <f t="shared" si="40"/>
        <v>-7.3029941584482214E-2</v>
      </c>
      <c r="AQ30">
        <f t="shared" si="13"/>
        <v>-4.1704143124224297E-2</v>
      </c>
    </row>
    <row r="31" spans="1:43" x14ac:dyDescent="0.3">
      <c r="A31">
        <v>20</v>
      </c>
      <c r="B31">
        <v>0.2</v>
      </c>
      <c r="C31">
        <v>0.2578184</v>
      </c>
      <c r="D31">
        <f t="shared" si="34"/>
        <v>0.7421816</v>
      </c>
      <c r="E31">
        <f t="shared" si="31"/>
        <v>4.4721359549995796</v>
      </c>
      <c r="F31">
        <f t="shared" si="32"/>
        <v>19</v>
      </c>
      <c r="G31">
        <v>0.14812902733328301</v>
      </c>
      <c r="H31">
        <f t="shared" si="33"/>
        <v>-5.1870972666717002E-2</v>
      </c>
      <c r="I31" s="2">
        <v>0.59048082236358501</v>
      </c>
      <c r="J31">
        <f>1-I31</f>
        <v>0.40951917763641499</v>
      </c>
      <c r="L31">
        <f>I31/C31</f>
        <v>2.2902974433305965</v>
      </c>
      <c r="M31">
        <f>LOG10(L31)</f>
        <v>0.35989188828248747</v>
      </c>
      <c r="O31">
        <f>J31/D31</f>
        <v>0.55177759410421245</v>
      </c>
      <c r="P31">
        <f>LOG10(O31)</f>
        <v>-0.25823593878700218</v>
      </c>
      <c r="R31" s="4">
        <f>_xlfn.T.DIST.RT(E31*(G31-0.2),F31)</f>
        <v>0.59048082236358579</v>
      </c>
      <c r="S31">
        <f>R31*M31</f>
        <v>0.21250925815502694</v>
      </c>
      <c r="T31">
        <f>(1-R31)*P31</f>
        <v>-0.10575256928822054</v>
      </c>
      <c r="U31" s="2">
        <f>_xlfn.T.DIST.RT(E31*(G31-0.4),F31)</f>
        <v>0.86298896312368156</v>
      </c>
      <c r="V31">
        <f>U31*M31</f>
        <v>0.31058272750552768</v>
      </c>
      <c r="W31">
        <f>(1-U31)*P31</f>
        <v>-3.5381173731936666E-2</v>
      </c>
      <c r="X31" s="2">
        <f>_xlfn.T.DIST.RT(E31*(G31-0.8),F31)</f>
        <v>0.99556203893565909</v>
      </c>
      <c r="Y31">
        <f>X31*M31</f>
        <v>0.35829470209491765</v>
      </c>
      <c r="Z31">
        <f>(1-X31)*P31</f>
        <v>-1.1460410417502387E-3</v>
      </c>
      <c r="AB31">
        <f>C31*M31</f>
        <v>9.2786750809969676E-2</v>
      </c>
      <c r="AC31">
        <f>D31*P31</f>
        <v>-0.19165796222643933</v>
      </c>
      <c r="AD31">
        <f>(C31+0.01)*M31</f>
        <v>9.6385669692794551E-2</v>
      </c>
      <c r="AE31">
        <f>(D31-0.01)*P31</f>
        <v>-0.18907560283856931</v>
      </c>
      <c r="AF31">
        <f>(C31+0.05)*M31</f>
        <v>0.11078134522409404</v>
      </c>
      <c r="AG31">
        <f>(D31-0.05)*P31</f>
        <v>-0.17874616528708923</v>
      </c>
      <c r="AH31">
        <f>(C31+0.1)*M31</f>
        <v>0.1287759396382184</v>
      </c>
      <c r="AI31">
        <f>(D31-0.1)*P31</f>
        <v>-0.16583436834773913</v>
      </c>
      <c r="AK31">
        <f t="shared" si="35"/>
        <v>0.10675668886680641</v>
      </c>
      <c r="AL31">
        <f t="shared" si="36"/>
        <v>0.27520155377359101</v>
      </c>
      <c r="AM31">
        <f t="shared" si="37"/>
        <v>0.35714866105316739</v>
      </c>
      <c r="AN31">
        <f t="shared" si="38"/>
        <v>-9.8871211416469651E-2</v>
      </c>
      <c r="AO31">
        <f t="shared" si="39"/>
        <v>-9.2689933145774756E-2</v>
      </c>
      <c r="AP31">
        <f t="shared" si="40"/>
        <v>-6.7964820062995188E-2</v>
      </c>
      <c r="AQ31">
        <f t="shared" si="13"/>
        <v>-3.7058428709520724E-2</v>
      </c>
    </row>
    <row r="32" spans="1:43" x14ac:dyDescent="0.3">
      <c r="A32">
        <v>20</v>
      </c>
      <c r="B32">
        <v>0.2</v>
      </c>
      <c r="C32">
        <v>0.2</v>
      </c>
      <c r="D32">
        <f t="shared" si="34"/>
        <v>0.8</v>
      </c>
      <c r="E32">
        <f t="shared" si="31"/>
        <v>4.4721359549995796</v>
      </c>
      <c r="F32">
        <f t="shared" si="32"/>
        <v>19</v>
      </c>
      <c r="G32">
        <f t="shared" ref="G32:G45" si="58">-_xlfn.T.INV(C32,F32)/E32</f>
        <v>0.19251439556671754</v>
      </c>
      <c r="H32">
        <f t="shared" si="33"/>
        <v>-7.4856044332824723E-3</v>
      </c>
      <c r="I32" s="2">
        <f>_xlfn.T.DIST.RT(E32*H32,F32)</f>
        <v>0.51317816032104047</v>
      </c>
      <c r="J32">
        <f>1-I32</f>
        <v>0.48682183967895953</v>
      </c>
      <c r="L32">
        <f>I32/C32</f>
        <v>2.5658908016052022</v>
      </c>
      <c r="M32">
        <f t="shared" ref="M32:M45" si="59">LOG10(L32)</f>
        <v>0.4092381698606507</v>
      </c>
      <c r="O32">
        <f>J32/D32</f>
        <v>0.60852729959869933</v>
      </c>
      <c r="P32">
        <f t="shared" ref="P32:P45" si="60">LOG10(O32)</f>
        <v>-0.21571993378703466</v>
      </c>
      <c r="R32" s="4">
        <f>_xlfn.T.DIST.RT(E32*(G32-0.2),F32)</f>
        <v>0.51317816032104047</v>
      </c>
      <c r="S32">
        <f>R32*M32</f>
        <v>0.21001209114223821</v>
      </c>
      <c r="T32">
        <f>(1-R32)*P32</f>
        <v>-0.10501717502162755</v>
      </c>
      <c r="U32" s="2">
        <f>_xlfn.T.DIST.RT(E32*(G32-0.4),F32)</f>
        <v>0.81745199801596491</v>
      </c>
      <c r="V32">
        <f>U32*M32</f>
        <v>0.33453255961698575</v>
      </c>
      <c r="W32">
        <f>(1-U32)*P32</f>
        <v>-3.9379242900951524E-2</v>
      </c>
      <c r="X32" s="2">
        <f>_xlfn.T.DIST.RT(E32*(G32-0.8),F32)</f>
        <v>0.99315747240287444</v>
      </c>
      <c r="Y32">
        <f>X32*M32</f>
        <v>0.40643794638958203</v>
      </c>
      <c r="Z32">
        <f>(1-X32)*P32</f>
        <v>-1.4760696001878829E-3</v>
      </c>
      <c r="AB32">
        <f>C32*M32</f>
        <v>8.1847633972130143E-2</v>
      </c>
      <c r="AC32">
        <f>D32*P32</f>
        <v>-0.17257594702962775</v>
      </c>
      <c r="AD32">
        <f>(C32+0.01)*M32</f>
        <v>8.5940015670736655E-2</v>
      </c>
      <c r="AE32">
        <f>(D32-0.01)*P32</f>
        <v>-0.17041874769175738</v>
      </c>
      <c r="AF32">
        <f>(C32+0.05)*M32</f>
        <v>0.10230954246516268</v>
      </c>
      <c r="AG32">
        <f>(D32-0.05)*P32</f>
        <v>-0.16178995034027599</v>
      </c>
      <c r="AH32">
        <f>(C32+0.1)*M32</f>
        <v>0.12277145095819524</v>
      </c>
      <c r="AI32">
        <f>(D32-0.1)*P32</f>
        <v>-0.15100395365092428</v>
      </c>
      <c r="AK32">
        <f t="shared" si="35"/>
        <v>0.10499491612061065</v>
      </c>
      <c r="AL32">
        <f t="shared" si="36"/>
        <v>0.29515331671603423</v>
      </c>
      <c r="AM32">
        <f t="shared" si="37"/>
        <v>0.40496187678939416</v>
      </c>
      <c r="AN32">
        <f t="shared" si="38"/>
        <v>-9.0728313057497609E-2</v>
      </c>
      <c r="AO32">
        <f t="shared" si="39"/>
        <v>-8.4478732021020728E-2</v>
      </c>
      <c r="AP32">
        <f t="shared" si="40"/>
        <v>-5.9480407875113314E-2</v>
      </c>
      <c r="AQ32">
        <f t="shared" si="13"/>
        <v>-2.8232502692729047E-2</v>
      </c>
    </row>
    <row r="33" spans="1:43" x14ac:dyDescent="0.3">
      <c r="A33">
        <v>20</v>
      </c>
      <c r="B33">
        <v>0.2</v>
      </c>
      <c r="C33">
        <v>0.1</v>
      </c>
      <c r="D33">
        <f t="shared" si="34"/>
        <v>0.9</v>
      </c>
      <c r="E33">
        <f t="shared" si="31"/>
        <v>4.4721359549995796</v>
      </c>
      <c r="F33">
        <f t="shared" si="32"/>
        <v>19</v>
      </c>
      <c r="G33">
        <f t="shared" si="58"/>
        <v>0.29688905310279701</v>
      </c>
      <c r="H33">
        <f t="shared" si="33"/>
        <v>9.6889053102796996E-2</v>
      </c>
      <c r="I33" s="2">
        <f>_xlfn.T.DIST.RT(E33*H33,F33)</f>
        <v>0.334837709693382</v>
      </c>
      <c r="J33">
        <f>1-I33</f>
        <v>0.665162290306618</v>
      </c>
      <c r="L33">
        <f>I33/C33</f>
        <v>3.3483770969338198</v>
      </c>
      <c r="M33">
        <f t="shared" si="59"/>
        <v>0.52483436267102423</v>
      </c>
      <c r="O33">
        <f>J33/D33</f>
        <v>0.73906921145179771</v>
      </c>
      <c r="P33">
        <f t="shared" si="60"/>
        <v>-0.13131488942096348</v>
      </c>
      <c r="R33" s="4">
        <f>_xlfn.T.DIST.RT(E33*(G33-0.2),F33)</f>
        <v>0.334837709693382</v>
      </c>
      <c r="S33">
        <f>R33*M33</f>
        <v>0.17573433596515159</v>
      </c>
      <c r="T33">
        <f>(1-R33)*P33</f>
        <v>-8.7345712598608349E-2</v>
      </c>
      <c r="U33" s="2">
        <f>_xlfn.T.DIST.RT(E33*(G33-0.4),F33)</f>
        <v>0.67502845495273522</v>
      </c>
      <c r="V33">
        <f>U33*M33</f>
        <v>0.354278128939925</v>
      </c>
      <c r="W33">
        <f>(1-U33)*P33</f>
        <v>-4.2673602502841225E-2</v>
      </c>
      <c r="X33" s="2">
        <f>_xlfn.T.DIST.RT(E33*(G33-0.8),F33)</f>
        <v>0.9817526093400849</v>
      </c>
      <c r="Y33">
        <f>X33*M33</f>
        <v>0.51525750502361845</v>
      </c>
      <c r="Z33">
        <f>(1-X33)*P33</f>
        <v>-2.3961540867278729E-3</v>
      </c>
      <c r="AB33">
        <f>C33*M33</f>
        <v>5.2483436267102425E-2</v>
      </c>
      <c r="AC33">
        <f>D33*P33</f>
        <v>-0.11818340047886713</v>
      </c>
      <c r="AD33">
        <f>(C33+0.01)*M33</f>
        <v>5.7731779893812667E-2</v>
      </c>
      <c r="AE33">
        <f>(D33-0.01)*P33</f>
        <v>-0.1168702515846575</v>
      </c>
      <c r="AF33">
        <f>(C33+0.05)*M33</f>
        <v>7.8725154400653641E-2</v>
      </c>
      <c r="AG33">
        <f>(D33-0.05)*P33</f>
        <v>-0.11161765600781895</v>
      </c>
      <c r="AH33">
        <f>(C33+0.1)*M33</f>
        <v>0.10496687253420485</v>
      </c>
      <c r="AI33">
        <f>(D33-0.1)*P33</f>
        <v>-0.10505191153677079</v>
      </c>
      <c r="AK33">
        <f t="shared" si="35"/>
        <v>8.838862336654324E-2</v>
      </c>
      <c r="AL33">
        <f t="shared" si="36"/>
        <v>0.31160452643708375</v>
      </c>
      <c r="AM33">
        <f t="shared" si="37"/>
        <v>0.51286135093689056</v>
      </c>
      <c r="AN33">
        <f t="shared" si="38"/>
        <v>-6.5699964211764716E-2</v>
      </c>
      <c r="AO33">
        <f t="shared" si="39"/>
        <v>-5.9138471690844831E-2</v>
      </c>
      <c r="AP33">
        <f t="shared" si="40"/>
        <v>-3.2892501607165309E-2</v>
      </c>
      <c r="AQ33">
        <f t="shared" si="13"/>
        <v>-8.5039002565942545E-5</v>
      </c>
    </row>
    <row r="34" spans="1:43" x14ac:dyDescent="0.3">
      <c r="A34">
        <v>20</v>
      </c>
      <c r="B34">
        <v>0.2</v>
      </c>
      <c r="C34">
        <v>0.05</v>
      </c>
      <c r="D34">
        <f t="shared" si="34"/>
        <v>0.95</v>
      </c>
      <c r="E34">
        <f t="shared" si="31"/>
        <v>4.4721359549995796</v>
      </c>
      <c r="F34">
        <f t="shared" si="32"/>
        <v>19</v>
      </c>
      <c r="G34">
        <f t="shared" si="58"/>
        <v>0.38664585086871139</v>
      </c>
      <c r="H34">
        <f t="shared" si="33"/>
        <v>0.18664585086871138</v>
      </c>
      <c r="I34" s="2">
        <f>_xlfn.T.DIST.RT(E34*H34,F34)</f>
        <v>0.20712803212771269</v>
      </c>
      <c r="J34">
        <f>1-I34</f>
        <v>0.79287196787228731</v>
      </c>
      <c r="L34">
        <f>I34/C34</f>
        <v>4.1425606425542538</v>
      </c>
      <c r="M34">
        <f t="shared" si="59"/>
        <v>0.61726887473383896</v>
      </c>
      <c r="O34">
        <f>J34/D34</f>
        <v>0.83460207144451304</v>
      </c>
      <c r="P34">
        <f t="shared" si="60"/>
        <v>-7.8520541723752599E-2</v>
      </c>
      <c r="R34" s="4">
        <f>_xlfn.T.DIST.RT(E34*(G34-0.2),F34)</f>
        <v>0.20712803212771269</v>
      </c>
      <c r="S34">
        <f>R34*M34</f>
        <v>0.12785368731730765</v>
      </c>
      <c r="T34">
        <f>(1-R34)*P34</f>
        <v>-6.2256736434909768E-2</v>
      </c>
      <c r="U34" s="2">
        <f>_xlfn.T.DIST.RT(E34*(G34-0.4),F34)</f>
        <v>0.52349945800805131</v>
      </c>
      <c r="V34">
        <f>U34*M34</f>
        <v>0.32313992136840441</v>
      </c>
      <c r="W34">
        <f>(1-U34)*P34</f>
        <v>-3.7415080688869534E-2</v>
      </c>
      <c r="X34" s="2">
        <f>_xlfn.T.DIST.RT(E34*(G34-0.8),F34)</f>
        <v>0.95992819402088403</v>
      </c>
      <c r="Y34">
        <f>X34*M34</f>
        <v>0.59253379614855728</v>
      </c>
      <c r="Z34">
        <f>(1-X34)*P34</f>
        <v>-3.1464599133292945E-3</v>
      </c>
      <c r="AB34">
        <f>C34*M34</f>
        <v>3.0863443736691948E-2</v>
      </c>
      <c r="AC34">
        <f>D34*P34</f>
        <v>-7.459451463756496E-2</v>
      </c>
      <c r="AD34">
        <f>(C34+0.01)*M34</f>
        <v>3.7036132484030343E-2</v>
      </c>
      <c r="AE34">
        <f>(D34-0.01)*P34</f>
        <v>-7.380930922032744E-2</v>
      </c>
      <c r="AF34">
        <f>(C34+0.05)*M34</f>
        <v>6.1726887473383896E-2</v>
      </c>
      <c r="AG34">
        <f>(D34-0.05)*P34</f>
        <v>-7.0668487551377335E-2</v>
      </c>
      <c r="AH34">
        <f>(C34+0.1)*M34</f>
        <v>9.2590331210075857E-2</v>
      </c>
      <c r="AI34">
        <f>(D34-0.1)*P34</f>
        <v>-6.674246046518971E-2</v>
      </c>
      <c r="AK34">
        <f t="shared" si="35"/>
        <v>6.5596950882397878E-2</v>
      </c>
      <c r="AL34">
        <f t="shared" si="36"/>
        <v>0.28572484067953485</v>
      </c>
      <c r="AM34">
        <f t="shared" si="37"/>
        <v>0.58938733623522799</v>
      </c>
      <c r="AN34">
        <f t="shared" si="38"/>
        <v>-4.3731070900873012E-2</v>
      </c>
      <c r="AO34">
        <f t="shared" si="39"/>
        <v>-3.6773176736297097E-2</v>
      </c>
      <c r="AP34">
        <f t="shared" si="40"/>
        <v>-8.941600077993439E-3</v>
      </c>
      <c r="AQ34">
        <f t="shared" si="13"/>
        <v>2.5847870744886148E-2</v>
      </c>
    </row>
    <row r="35" spans="1:43" x14ac:dyDescent="0.3">
      <c r="A35">
        <v>20</v>
      </c>
      <c r="B35">
        <v>0.2</v>
      </c>
      <c r="C35">
        <v>0.02</v>
      </c>
      <c r="D35">
        <f t="shared" si="34"/>
        <v>0.98</v>
      </c>
      <c r="E35">
        <f t="shared" si="31"/>
        <v>4.4721359549995796</v>
      </c>
      <c r="F35">
        <f t="shared" si="32"/>
        <v>19</v>
      </c>
      <c r="G35">
        <f t="shared" si="58"/>
        <v>0.49298620903438412</v>
      </c>
      <c r="H35">
        <f t="shared" si="33"/>
        <v>0.2929862090343841</v>
      </c>
      <c r="I35" s="2">
        <f>_xlfn.T.DIST.RT(E35*H35,F35)</f>
        <v>0.10286152054408156</v>
      </c>
      <c r="J35">
        <f>1-I35</f>
        <v>0.8971384794559184</v>
      </c>
      <c r="L35">
        <f>I35/C35</f>
        <v>5.1430760272040779</v>
      </c>
      <c r="M35">
        <f t="shared" si="59"/>
        <v>0.71122294429992727</v>
      </c>
      <c r="O35">
        <f>J35/D35</f>
        <v>0.91544742801624324</v>
      </c>
      <c r="P35">
        <f t="shared" si="60"/>
        <v>-3.8366591152586928E-2</v>
      </c>
      <c r="R35" s="4">
        <f>_xlfn.T.DIST.RT(E35*(G35-0.2),F35)</f>
        <v>0.10286152054408156</v>
      </c>
      <c r="S35">
        <f>R35*M35</f>
        <v>7.3157473496529138E-2</v>
      </c>
      <c r="T35">
        <f>(1-R35)*P35</f>
        <v>-3.442014524853873E-2</v>
      </c>
      <c r="U35" s="2">
        <f>_xlfn.T.DIST.RT(E35*(G35-0.4),F35)</f>
        <v>0.34109059331311098</v>
      </c>
      <c r="V35">
        <f>U35*M35</f>
        <v>0.24259145604915988</v>
      </c>
      <c r="W35">
        <f>(1-U35)*P35</f>
        <v>-2.5280107812949499E-2</v>
      </c>
      <c r="X35" s="2">
        <f>_xlfn.T.DIST.RT(E35*(G35-0.8),F35)</f>
        <v>0.90713066835995304</v>
      </c>
      <c r="Y35">
        <f>X35*M35</f>
        <v>0.64517214481572671</v>
      </c>
      <c r="Z35">
        <f>(1-X35)*P35</f>
        <v>-3.5630796776476869E-3</v>
      </c>
      <c r="AB35">
        <f>C35*M35</f>
        <v>1.4224458885998546E-2</v>
      </c>
      <c r="AC35">
        <f>D35*P35</f>
        <v>-3.7599259329535187E-2</v>
      </c>
      <c r="AD35">
        <f>(C35+0.01)*M35</f>
        <v>2.1336688328997818E-2</v>
      </c>
      <c r="AE35">
        <f>(D35-0.01)*P35</f>
        <v>-3.721559341800932E-2</v>
      </c>
      <c r="AF35">
        <f>(C35+0.05)*M35</f>
        <v>4.9785606100994917E-2</v>
      </c>
      <c r="AG35">
        <f>(D35-0.05)*P35</f>
        <v>-3.5680929771905838E-2</v>
      </c>
      <c r="AH35">
        <f>(C35+0.1)*M35</f>
        <v>8.5346753315991286E-2</v>
      </c>
      <c r="AI35">
        <f>(D35-0.1)*P35</f>
        <v>-3.3762600214276496E-2</v>
      </c>
      <c r="AK35">
        <f t="shared" si="35"/>
        <v>3.8737328247990407E-2</v>
      </c>
      <c r="AL35">
        <f t="shared" si="36"/>
        <v>0.21731134823621037</v>
      </c>
      <c r="AM35">
        <f t="shared" si="37"/>
        <v>0.64160906513807903</v>
      </c>
      <c r="AN35">
        <f t="shared" si="38"/>
        <v>-2.3374800443536639E-2</v>
      </c>
      <c r="AO35">
        <f t="shared" si="39"/>
        <v>-1.5878905089011502E-2</v>
      </c>
      <c r="AP35">
        <f t="shared" si="40"/>
        <v>1.4104676329089079E-2</v>
      </c>
      <c r="AQ35">
        <f t="shared" si="13"/>
        <v>5.158415310171479E-2</v>
      </c>
    </row>
    <row r="36" spans="1:43" x14ac:dyDescent="0.3">
      <c r="A36">
        <v>20</v>
      </c>
      <c r="B36">
        <v>0.2</v>
      </c>
      <c r="C36">
        <v>0.01</v>
      </c>
      <c r="D36">
        <f t="shared" si="34"/>
        <v>0.99</v>
      </c>
      <c r="E36">
        <f t="shared" si="31"/>
        <v>4.4721359549995796</v>
      </c>
      <c r="F36">
        <f t="shared" si="32"/>
        <v>19</v>
      </c>
      <c r="G36">
        <f t="shared" si="58"/>
        <v>0.56784570419532332</v>
      </c>
      <c r="H36">
        <f t="shared" si="33"/>
        <v>0.36784570419532331</v>
      </c>
      <c r="I36" s="2">
        <f>_xlfn.T.DIST.RT(E36*H36,F36)</f>
        <v>5.8200730357768474E-2</v>
      </c>
      <c r="J36">
        <f>1-I36</f>
        <v>0.94179926964223148</v>
      </c>
      <c r="L36">
        <f>I36/C36</f>
        <v>5.8200730357768471</v>
      </c>
      <c r="M36">
        <f t="shared" si="59"/>
        <v>0.76492843462168314</v>
      </c>
      <c r="O36">
        <f>J36/D36</f>
        <v>0.95131239357801156</v>
      </c>
      <c r="P36">
        <f t="shared" si="60"/>
        <v>-2.1676845282597869E-2</v>
      </c>
      <c r="R36" s="4">
        <f>_xlfn.T.DIST.RT(E36*(G36-0.2),F36)</f>
        <v>5.8200730357768474E-2</v>
      </c>
      <c r="S36">
        <f>R36*M36</f>
        <v>4.4519393566406509E-2</v>
      </c>
      <c r="T36">
        <f>(1-R36)*P36</f>
        <v>-2.0415237055298324E-2</v>
      </c>
      <c r="U36" s="2">
        <f>_xlfn.T.DIST.RT(E36*(G36-0.4),F36)</f>
        <v>0.23103587478927806</v>
      </c>
      <c r="V36">
        <f>U36*M36</f>
        <v>0.17672591004401367</v>
      </c>
      <c r="W36">
        <f>(1-U36)*P36</f>
        <v>-1.6668716370061037E-2</v>
      </c>
      <c r="X36" s="2">
        <f>_xlfn.T.DIST.RT(E36*(G36-0.8),F36)</f>
        <v>0.84390094746076549</v>
      </c>
      <c r="Y36">
        <f>X36*M36</f>
        <v>0.64552383071691866</v>
      </c>
      <c r="Z36">
        <f>(1-X36)*P36</f>
        <v>-3.3837350106531022E-3</v>
      </c>
      <c r="AB36">
        <f>C36*M36</f>
        <v>7.6492843462168314E-3</v>
      </c>
      <c r="AC36">
        <f>D36*P36</f>
        <v>-2.1460076829771892E-2</v>
      </c>
      <c r="AD36">
        <f>(C36+0.01)*M36</f>
        <v>1.5298568692433663E-2</v>
      </c>
      <c r="AE36">
        <f>(D36-0.01)*P36</f>
        <v>-2.1243308376945911E-2</v>
      </c>
      <c r="AF36">
        <f>(C36+0.05)*M36</f>
        <v>4.5895706077300993E-2</v>
      </c>
      <c r="AG36">
        <f>(D36-0.05)*P36</f>
        <v>-2.0376234565641995E-2</v>
      </c>
      <c r="AH36">
        <f>(C36+0.1)*M36</f>
        <v>8.4142127808385148E-2</v>
      </c>
      <c r="AI36">
        <f>(D36-0.1)*P36</f>
        <v>-1.9292392301512102E-2</v>
      </c>
      <c r="AK36">
        <f t="shared" si="35"/>
        <v>2.4104156511108185E-2</v>
      </c>
      <c r="AL36">
        <f t="shared" si="36"/>
        <v>0.16005719367395263</v>
      </c>
      <c r="AM36">
        <f t="shared" si="37"/>
        <v>0.64214009570626551</v>
      </c>
      <c r="AN36">
        <f t="shared" si="38"/>
        <v>-1.3810792483555059E-2</v>
      </c>
      <c r="AO36">
        <f t="shared" si="39"/>
        <v>-5.9447396845122482E-3</v>
      </c>
      <c r="AP36">
        <f t="shared" si="40"/>
        <v>2.5519471511658998E-2</v>
      </c>
      <c r="AQ36">
        <f t="shared" si="13"/>
        <v>6.4849735506873049E-2</v>
      </c>
    </row>
    <row r="37" spans="1:43" x14ac:dyDescent="0.3">
      <c r="A37">
        <v>20</v>
      </c>
      <c r="B37">
        <v>0.2</v>
      </c>
      <c r="C37">
        <v>5.0000000000000001E-3</v>
      </c>
      <c r="D37">
        <f t="shared" ref="D37" si="61">1-C37</f>
        <v>0.995</v>
      </c>
      <c r="E37">
        <f t="shared" ref="E37" si="62">SQRT(A37)</f>
        <v>4.4721359549995796</v>
      </c>
      <c r="F37">
        <f t="shared" ref="F37" si="63">A37-1</f>
        <v>19</v>
      </c>
      <c r="G37">
        <f t="shared" ref="G37" si="64">-_xlfn.T.INV(C37,F37)/E37</f>
        <v>0.63972442592373036</v>
      </c>
      <c r="H37">
        <f t="shared" ref="H37" si="65">G37-B37</f>
        <v>0.43972442592373034</v>
      </c>
      <c r="I37" s="2">
        <f>_xlfn.T.DIST.RT(E37*H37,F37)</f>
        <v>3.2010422961456411E-2</v>
      </c>
      <c r="J37">
        <f>1-I37</f>
        <v>0.9679895770385436</v>
      </c>
      <c r="L37">
        <f>I37/C37</f>
        <v>6.4020845922912821</v>
      </c>
      <c r="M37">
        <f t="shared" ref="M37" si="66">LOG10(L37)</f>
        <v>0.80632140828399612</v>
      </c>
      <c r="O37">
        <f>J37/D37</f>
        <v>0.97285384626989302</v>
      </c>
      <c r="P37">
        <f t="shared" ref="P37" si="67">LOG10(O37)</f>
        <v>-1.1952399737968274E-2</v>
      </c>
      <c r="R37" s="4">
        <f>_xlfn.T.DIST.RT(E37*(G37-0.2),F37)</f>
        <v>3.2010422961456411E-2</v>
      </c>
      <c r="S37">
        <f>R37*M37</f>
        <v>2.58106893220479E-2</v>
      </c>
      <c r="T37">
        <f>(1-R37)*P37</f>
        <v>-1.1569798366951508E-2</v>
      </c>
      <c r="U37" s="2">
        <f>_xlfn.T.DIST.RT(E37*(G37-0.4),F37)</f>
        <v>0.14855658350200587</v>
      </c>
      <c r="V37">
        <f>U37*M37</f>
        <v>0.11978435361919644</v>
      </c>
      <c r="W37">
        <f>(1-U37)*P37</f>
        <v>-1.0176792068245438E-2</v>
      </c>
      <c r="X37" s="2">
        <f>_xlfn.T.DIST.RT(E37*(G37-0.8),F37)</f>
        <v>0.75888384566462863</v>
      </c>
      <c r="Y37">
        <f>X37*M37</f>
        <v>0.61190429116027811</v>
      </c>
      <c r="Z37">
        <f>(1-X37)*P37</f>
        <v>-2.8819166598980108E-3</v>
      </c>
      <c r="AB37">
        <f>C37*M37</f>
        <v>4.0316070414199807E-3</v>
      </c>
      <c r="AC37">
        <f>D37*P37</f>
        <v>-1.1892637739278433E-2</v>
      </c>
      <c r="AD37">
        <f>(C37+0.01)*M37</f>
        <v>1.2094821124259941E-2</v>
      </c>
      <c r="AE37">
        <f>(D37-0.01)*P37</f>
        <v>-1.1773113741898749E-2</v>
      </c>
      <c r="AF37">
        <f>(C37+0.05)*M37</f>
        <v>4.4347677455619787E-2</v>
      </c>
      <c r="AG37">
        <f>(D37-0.05)*P37</f>
        <v>-1.1295017752380019E-2</v>
      </c>
      <c r="AH37">
        <f>(C37+0.1)*M37</f>
        <v>8.4663747869819603E-2</v>
      </c>
      <c r="AI37">
        <f>(D37-0.1)*P37</f>
        <v>-1.0697397765481606E-2</v>
      </c>
      <c r="AK37">
        <f t="shared" ref="AK37" si="68">S37+T37</f>
        <v>1.4240890955096392E-2</v>
      </c>
      <c r="AL37">
        <f t="shared" ref="AL37" si="69">V37+W37</f>
        <v>0.109607561550951</v>
      </c>
      <c r="AM37">
        <f t="shared" ref="AM37" si="70">Y37+Z37</f>
        <v>0.6090223745003801</v>
      </c>
      <c r="AN37">
        <f t="shared" ref="AN37" si="71">AB37+AC37</f>
        <v>-7.8610306978584531E-3</v>
      </c>
      <c r="AO37">
        <f t="shared" ref="AO37" si="72">AD37+AE37</f>
        <v>3.2170738236119226E-4</v>
      </c>
      <c r="AP37">
        <f t="shared" ref="AP37" si="73">AF37+AG37</f>
        <v>3.305265970323977E-2</v>
      </c>
      <c r="AQ37">
        <f t="shared" ref="AQ37" si="74">AH37+AI37</f>
        <v>7.3966350104337997E-2</v>
      </c>
    </row>
    <row r="38" spans="1:43" x14ac:dyDescent="0.3">
      <c r="A38">
        <v>20</v>
      </c>
      <c r="B38">
        <v>0.2</v>
      </c>
      <c r="C38">
        <v>2E-3</v>
      </c>
      <c r="D38">
        <f t="shared" si="34"/>
        <v>0.998</v>
      </c>
      <c r="E38">
        <f t="shared" si="31"/>
        <v>4.4721359549995796</v>
      </c>
      <c r="F38">
        <f t="shared" si="32"/>
        <v>19</v>
      </c>
      <c r="G38">
        <f t="shared" si="58"/>
        <v>0.73189803301944156</v>
      </c>
      <c r="H38">
        <f t="shared" si="33"/>
        <v>0.53189803301944161</v>
      </c>
      <c r="I38" s="2">
        <f>_xlfn.T.DIST.RT(E38*H38,F38)</f>
        <v>1.4008104340499174E-2</v>
      </c>
      <c r="J38">
        <f>1-I38</f>
        <v>0.98599189565950085</v>
      </c>
      <c r="L38">
        <f>I38/C38</f>
        <v>7.0040521702495875</v>
      </c>
      <c r="M38">
        <f t="shared" si="59"/>
        <v>0.845349372301062</v>
      </c>
      <c r="O38">
        <f>J38/D38</f>
        <v>0.98796783132214516</v>
      </c>
      <c r="P38">
        <f t="shared" si="60"/>
        <v>-5.2571960062239211E-3</v>
      </c>
      <c r="R38" s="4">
        <f>_xlfn.T.DIST.RT(E38*(G38-0.2),F38)</f>
        <v>1.4008104340499174E-2</v>
      </c>
      <c r="S38">
        <f>R38*M38</f>
        <v>1.184174221136876E-2</v>
      </c>
      <c r="T38">
        <f>(1-R38)*P38</f>
        <v>-5.1835526560302814E-3</v>
      </c>
      <c r="U38" s="2">
        <f>_xlfn.T.DIST.RT(E38*(G38-0.4),F38)</f>
        <v>7.7066216578132757E-2</v>
      </c>
      <c r="V38">
        <f>U38*M38</f>
        <v>6.5147877809942217E-2</v>
      </c>
      <c r="W38">
        <f>(1-U38)*P38</f>
        <v>-4.8520438002145738E-3</v>
      </c>
      <c r="X38" s="2">
        <f>_xlfn.T.DIST.RT(E38*(G38-0.8),F38)</f>
        <v>0.6179944443490677</v>
      </c>
      <c r="Y38">
        <f>X38*M38</f>
        <v>0.52242121561602795</v>
      </c>
      <c r="Z38">
        <f>(1-X38)*P38</f>
        <v>-2.0082780815234313E-3</v>
      </c>
      <c r="AB38">
        <f>C38*M38</f>
        <v>1.6906987446021241E-3</v>
      </c>
      <c r="AC38">
        <f>D38*P38</f>
        <v>-5.2466816142114729E-3</v>
      </c>
      <c r="AD38">
        <f>(C38+0.01)*M38</f>
        <v>1.0144192467612743E-2</v>
      </c>
      <c r="AE38">
        <f>(D38-0.01)*P38</f>
        <v>-5.1941096541492336E-3</v>
      </c>
      <c r="AF38">
        <f>(C38+0.05)*M38</f>
        <v>4.3958167359655229E-2</v>
      </c>
      <c r="AG38">
        <f>(D38-0.05)*P38</f>
        <v>-4.9838218139002773E-3</v>
      </c>
      <c r="AH38">
        <f>(C38+0.1)*M38</f>
        <v>8.6225635974708337E-2</v>
      </c>
      <c r="AI38">
        <f>(D38-0.1)*P38</f>
        <v>-4.7209620135890817E-3</v>
      </c>
      <c r="AK38">
        <f t="shared" si="35"/>
        <v>6.6581895553384784E-3</v>
      </c>
      <c r="AL38">
        <f t="shared" si="36"/>
        <v>6.0295834009727642E-2</v>
      </c>
      <c r="AM38">
        <f t="shared" si="37"/>
        <v>0.52041293753450446</v>
      </c>
      <c r="AN38">
        <f t="shared" si="38"/>
        <v>-3.555982869609349E-3</v>
      </c>
      <c r="AO38">
        <f t="shared" si="39"/>
        <v>4.9500828134635098E-3</v>
      </c>
      <c r="AP38">
        <f t="shared" si="40"/>
        <v>3.8974345545754949E-2</v>
      </c>
      <c r="AQ38">
        <f t="shared" si="13"/>
        <v>8.1504673961119253E-2</v>
      </c>
    </row>
    <row r="39" spans="1:43" x14ac:dyDescent="0.3">
      <c r="A39">
        <v>20</v>
      </c>
      <c r="B39">
        <v>0.2</v>
      </c>
      <c r="C39">
        <v>1E-3</v>
      </c>
      <c r="D39">
        <f t="shared" si="34"/>
        <v>0.999</v>
      </c>
      <c r="E39">
        <f t="shared" si="31"/>
        <v>4.4721359549995796</v>
      </c>
      <c r="F39">
        <f t="shared" si="32"/>
        <v>19</v>
      </c>
      <c r="G39">
        <f t="shared" si="58"/>
        <v>0.80037820517356184</v>
      </c>
      <c r="H39">
        <f t="shared" si="33"/>
        <v>0.60037820517356177</v>
      </c>
      <c r="I39" s="2">
        <f>_xlfn.T.DIST.RT(E39*H39,F39)</f>
        <v>7.3282106104666268E-3</v>
      </c>
      <c r="J39">
        <f>1-I39</f>
        <v>0.99267178938953338</v>
      </c>
      <c r="L39">
        <f>I39/C39</f>
        <v>7.3282106104666269</v>
      </c>
      <c r="M39">
        <f t="shared" si="59"/>
        <v>0.86499794232588412</v>
      </c>
      <c r="O39">
        <f>J39/D39</f>
        <v>0.99366545484437774</v>
      </c>
      <c r="P39">
        <f t="shared" si="60"/>
        <v>-2.7598083294879355E-3</v>
      </c>
      <c r="R39" s="4">
        <f>_xlfn.T.DIST.RT(E39*(G39-0.2),F39)</f>
        <v>7.3282106104666268E-3</v>
      </c>
      <c r="S39">
        <f>R39*M39</f>
        <v>6.3388870989843429E-3</v>
      </c>
      <c r="T39">
        <f>(1-R39)*P39</f>
        <v>-2.739583872804928E-3</v>
      </c>
      <c r="U39" s="2">
        <f>_xlfn.T.DIST.RT(E39*(G39-0.4),F39)</f>
        <v>4.4657025977976016E-2</v>
      </c>
      <c r="V39">
        <f>U39*M39</f>
        <v>3.8628235581342804E-2</v>
      </c>
      <c r="W39">
        <f>(1-U39)*P39</f>
        <v>-2.636563497223758E-3</v>
      </c>
      <c r="X39" s="2">
        <f>_xlfn.T.DIST.RT(E39*(G39-0.8),F39)</f>
        <v>0.49933405166182354</v>
      </c>
      <c r="Y39">
        <f>X39*M39</f>
        <v>0.43192292722072406</v>
      </c>
      <c r="Z39">
        <f>(1-X39)*P39</f>
        <v>-1.3817420545146758E-3</v>
      </c>
      <c r="AB39">
        <f>C39*M39</f>
        <v>8.6499794232588415E-4</v>
      </c>
      <c r="AC39">
        <f>D39*P39</f>
        <v>-2.7570485211584478E-3</v>
      </c>
      <c r="AD39">
        <f>(C39+0.01)*M39</f>
        <v>9.5149773655847248E-3</v>
      </c>
      <c r="AE39">
        <f>(D39-0.01)*P39</f>
        <v>-2.7294504378635683E-3</v>
      </c>
      <c r="AF39">
        <f>(C39+0.05)*M39</f>
        <v>4.4114895058620096E-2</v>
      </c>
      <c r="AG39">
        <f>(D39-0.05)*P39</f>
        <v>-2.6190581046840506E-3</v>
      </c>
      <c r="AH39">
        <f>(C39+0.1)*M39</f>
        <v>8.7364792174914302E-2</v>
      </c>
      <c r="AI39">
        <f>(D39-0.1)*P39</f>
        <v>-2.4810676882096542E-3</v>
      </c>
      <c r="AK39">
        <f t="shared" si="35"/>
        <v>3.5993032261794149E-3</v>
      </c>
      <c r="AL39">
        <f t="shared" si="36"/>
        <v>3.5991672084119047E-2</v>
      </c>
      <c r="AM39">
        <f t="shared" si="37"/>
        <v>0.43054118516620937</v>
      </c>
      <c r="AN39">
        <f t="shared" si="38"/>
        <v>-1.8920505788325636E-3</v>
      </c>
      <c r="AO39">
        <f t="shared" si="39"/>
        <v>6.7855269277211569E-3</v>
      </c>
      <c r="AP39">
        <f t="shared" si="40"/>
        <v>4.1495836953936042E-2</v>
      </c>
      <c r="AQ39">
        <f t="shared" si="13"/>
        <v>8.4883724486704643E-2</v>
      </c>
    </row>
    <row r="40" spans="1:43" x14ac:dyDescent="0.3">
      <c r="A40">
        <v>20</v>
      </c>
      <c r="B40">
        <v>0.2</v>
      </c>
      <c r="C40">
        <v>1E-4</v>
      </c>
      <c r="D40">
        <f t="shared" si="34"/>
        <v>0.99990000000000001</v>
      </c>
      <c r="E40">
        <f t="shared" si="31"/>
        <v>4.4721359549995796</v>
      </c>
      <c r="F40">
        <f t="shared" si="32"/>
        <v>19</v>
      </c>
      <c r="G40">
        <f t="shared" si="58"/>
        <v>1.0263249245863912</v>
      </c>
      <c r="H40">
        <f t="shared" si="33"/>
        <v>0.82632492458639129</v>
      </c>
      <c r="I40" s="2">
        <f>_xlfn.T.DIST.RT(E40*H40,F40)</f>
        <v>7.6781604023424958E-4</v>
      </c>
      <c r="J40">
        <f>1-I40</f>
        <v>0.99923218395976576</v>
      </c>
      <c r="L40">
        <f>I40/C40</f>
        <v>7.6781604023424954</v>
      </c>
      <c r="M40">
        <f t="shared" si="59"/>
        <v>0.88525718060303005</v>
      </c>
      <c r="O40">
        <f>J40/D40</f>
        <v>0.99933211717148285</v>
      </c>
      <c r="P40">
        <f t="shared" si="60"/>
        <v>-2.9015473245396357E-4</v>
      </c>
      <c r="R40" s="4">
        <f>_xlfn.T.DIST.RT(E40*(G40-0.2),F40)</f>
        <v>7.6781604023424958E-4</v>
      </c>
      <c r="S40">
        <f>R40*M40</f>
        <v>6.7971466299955445E-4</v>
      </c>
      <c r="T40">
        <f>(1-R40)*P40</f>
        <v>-2.8993194699623555E-4</v>
      </c>
      <c r="U40" s="2">
        <f>_xlfn.T.DIST.RT(E40*(G40-0.4),F40)</f>
        <v>5.6992777865979135E-3</v>
      </c>
      <c r="V40">
        <f>U40*M40</f>
        <v>5.0453265848371467E-3</v>
      </c>
      <c r="W40">
        <f>(1-U40)*P40</f>
        <v>-2.8850106003261243E-4</v>
      </c>
      <c r="X40" s="2">
        <f>_xlfn.T.DIST.RT(E40*(G40-0.8),F40)</f>
        <v>0.16209018693693844</v>
      </c>
      <c r="Y40">
        <f>X40*M40</f>
        <v>0.14349150189121221</v>
      </c>
      <c r="Z40">
        <f>(1-X40)*P40</f>
        <v>-2.4312349762986324E-4</v>
      </c>
      <c r="AB40">
        <f>C40*M40</f>
        <v>8.8525718060303014E-5</v>
      </c>
      <c r="AC40">
        <f>D40*P40</f>
        <v>-2.901257169807182E-4</v>
      </c>
      <c r="AD40">
        <f>(C40+0.01)*M40</f>
        <v>8.9410975240906028E-3</v>
      </c>
      <c r="AE40">
        <f>(D40-0.01)*P40</f>
        <v>-2.8722416965617852E-4</v>
      </c>
      <c r="AF40">
        <f>(C40+0.05)*M40</f>
        <v>4.4351384748211813E-2</v>
      </c>
      <c r="AG40">
        <f>(D40-0.05)*P40</f>
        <v>-2.7561798035802E-4</v>
      </c>
      <c r="AH40">
        <f>(C40+0.1)*M40</f>
        <v>8.8614243778363314E-2</v>
      </c>
      <c r="AI40">
        <f>(D40-0.1)*P40</f>
        <v>-2.611102437353218E-4</v>
      </c>
      <c r="AK40">
        <f t="shared" si="35"/>
        <v>3.8978271600331889E-4</v>
      </c>
      <c r="AL40">
        <f t="shared" si="36"/>
        <v>4.7568255248045341E-3</v>
      </c>
      <c r="AM40">
        <f t="shared" si="37"/>
        <v>0.14324837839358234</v>
      </c>
      <c r="AN40">
        <f t="shared" si="38"/>
        <v>-2.0159999892041519E-4</v>
      </c>
      <c r="AO40">
        <f t="shared" si="39"/>
        <v>8.6538733544344239E-3</v>
      </c>
      <c r="AP40">
        <f t="shared" si="40"/>
        <v>4.407576676785379E-2</v>
      </c>
      <c r="AQ40">
        <f t="shared" si="13"/>
        <v>8.8353133534627995E-2</v>
      </c>
    </row>
    <row r="41" spans="1:43" x14ac:dyDescent="0.3">
      <c r="A41">
        <v>20</v>
      </c>
      <c r="B41">
        <v>0.2</v>
      </c>
      <c r="C41">
        <v>1.0000000000000001E-5</v>
      </c>
      <c r="D41">
        <f t="shared" si="34"/>
        <v>0.99999000000000005</v>
      </c>
      <c r="E41">
        <f t="shared" si="31"/>
        <v>4.4721359549995796</v>
      </c>
      <c r="F41">
        <f t="shared" si="32"/>
        <v>19</v>
      </c>
      <c r="G41">
        <f t="shared" si="58"/>
        <v>1.2581831789871367</v>
      </c>
      <c r="H41">
        <f t="shared" si="33"/>
        <v>1.0581831789871368</v>
      </c>
      <c r="I41" s="2">
        <f>_xlfn.T.DIST.RT(E41*H41,F41)</f>
        <v>7.2476574112443148E-5</v>
      </c>
      <c r="J41">
        <f>1-I41</f>
        <v>0.99992752342588753</v>
      </c>
      <c r="L41">
        <f>I41/C41</f>
        <v>7.2476574112443144</v>
      </c>
      <c r="M41">
        <f t="shared" si="59"/>
        <v>0.86019765653374858</v>
      </c>
      <c r="O41">
        <f>J41/D41</f>
        <v>0.99993752280111547</v>
      </c>
      <c r="P41">
        <f t="shared" si="60"/>
        <v>-2.7134350368250198E-5</v>
      </c>
      <c r="R41" s="4">
        <f>_xlfn.T.DIST.RT(E41*(G41-0.2),F41)</f>
        <v>7.2476574112443148E-5</v>
      </c>
      <c r="S41">
        <f>R41*M41</f>
        <v>6.234417920511815E-5</v>
      </c>
      <c r="T41">
        <f>(1-R41)*P41</f>
        <v>-2.7132383763494741E-5</v>
      </c>
      <c r="U41" s="2">
        <f>_xlfn.T.DIST.RT(E41*(G41-0.4),F41)</f>
        <v>5.5473720712405947E-4</v>
      </c>
      <c r="V41">
        <f>U41*M41</f>
        <v>4.7718364556019265E-4</v>
      </c>
      <c r="W41">
        <f>(1-U41)*P41</f>
        <v>-2.7119297934509789E-5</v>
      </c>
      <c r="X41" s="2">
        <f>_xlfn.T.DIST.RT(E41*(G41-0.8),F41)</f>
        <v>2.7261523830425523E-2</v>
      </c>
      <c r="Y41">
        <f>X41*M41</f>
        <v>2.3450298912470975E-2</v>
      </c>
      <c r="Z41">
        <f>(1-X41)*P41</f>
        <v>-2.6394626629063029E-5</v>
      </c>
      <c r="AB41">
        <f>C41*M41</f>
        <v>8.6019765653374863E-6</v>
      </c>
      <c r="AC41">
        <f>D41*P41</f>
        <v>-2.7134079024746516E-5</v>
      </c>
      <c r="AD41">
        <f>(C41+0.01)*M41</f>
        <v>8.6105785419028236E-3</v>
      </c>
      <c r="AE41">
        <f>(D41-0.01)*P41</f>
        <v>-2.6862735521064015E-5</v>
      </c>
      <c r="AF41">
        <f>(C41+0.05)*M41</f>
        <v>4.3018484803252773E-2</v>
      </c>
      <c r="AG41">
        <f>(D41-0.05)*P41</f>
        <v>-2.5777361506334007E-5</v>
      </c>
      <c r="AH41">
        <f>(C41+0.1)*M41</f>
        <v>8.6028367629940192E-2</v>
      </c>
      <c r="AI41">
        <f>(D41-0.1)*P41</f>
        <v>-2.4420643987921498E-5</v>
      </c>
      <c r="AK41">
        <f t="shared" si="35"/>
        <v>3.5211795441623409E-5</v>
      </c>
      <c r="AL41">
        <f t="shared" si="36"/>
        <v>4.5006434762568287E-4</v>
      </c>
      <c r="AM41">
        <f t="shared" si="37"/>
        <v>2.3423904285841912E-2</v>
      </c>
      <c r="AN41">
        <f t="shared" si="38"/>
        <v>-1.8532102459409031E-5</v>
      </c>
      <c r="AO41">
        <f t="shared" si="39"/>
        <v>8.5837158063817604E-3</v>
      </c>
      <c r="AP41">
        <f t="shared" si="40"/>
        <v>4.2992707441746436E-2</v>
      </c>
      <c r="AQ41">
        <f t="shared" si="13"/>
        <v>8.6003946985952276E-2</v>
      </c>
    </row>
    <row r="42" spans="1:43" x14ac:dyDescent="0.3">
      <c r="A42">
        <v>20</v>
      </c>
      <c r="B42">
        <v>0.2</v>
      </c>
      <c r="C42">
        <v>9.9999999999999995E-7</v>
      </c>
      <c r="D42">
        <f t="shared" si="34"/>
        <v>0.99999899999999997</v>
      </c>
      <c r="E42">
        <f t="shared" si="31"/>
        <v>4.4721359549995796</v>
      </c>
      <c r="F42">
        <f t="shared" si="32"/>
        <v>19</v>
      </c>
      <c r="G42">
        <f t="shared" si="58"/>
        <v>1.5033966654533022</v>
      </c>
      <c r="H42">
        <f t="shared" si="33"/>
        <v>1.3033966654533022</v>
      </c>
      <c r="I42" s="2">
        <f>_xlfn.T.DIST.RT(E42*H42,F42)</f>
        <v>6.4665534083253949E-6</v>
      </c>
      <c r="J42">
        <f>1-I42</f>
        <v>0.9999935334465917</v>
      </c>
      <c r="L42">
        <f>I42/C42</f>
        <v>6.466553408325395</v>
      </c>
      <c r="M42">
        <f t="shared" si="59"/>
        <v>0.810672868833751</v>
      </c>
      <c r="O42">
        <f>J42/D42</f>
        <v>0.99999453344112521</v>
      </c>
      <c r="P42">
        <f t="shared" si="60"/>
        <v>-2.3741028434126415E-6</v>
      </c>
      <c r="R42" s="4">
        <f>_xlfn.T.DIST.RT(E42*(G42-0.2),F42)</f>
        <v>6.4665534083253949E-6</v>
      </c>
      <c r="S42">
        <f>R42*M42</f>
        <v>5.2422594029938183E-6</v>
      </c>
      <c r="T42">
        <f>(1-R42)*P42</f>
        <v>-2.3740874911498078E-6</v>
      </c>
      <c r="U42" s="2">
        <f>_xlfn.T.DIST.RT(E42*(G42-0.4),F42)</f>
        <v>4.6014712664891913E-5</v>
      </c>
      <c r="V42">
        <f>U42*M42</f>
        <v>3.7302879124608664E-5</v>
      </c>
      <c r="W42">
        <f>(1-U42)*P42</f>
        <v>-2.3739935997524649E-6</v>
      </c>
      <c r="X42" s="2">
        <f>_xlfn.T.DIST.RT(E42*(G42-0.8),F42)</f>
        <v>2.6618146970880463E-3</v>
      </c>
      <c r="Y42">
        <f>X42*M42</f>
        <v>2.1578609567922086E-3</v>
      </c>
      <c r="Z42">
        <f>(1-X42)*P42</f>
        <v>-2.3677834215716472E-6</v>
      </c>
      <c r="AB42">
        <f>C42*M42</f>
        <v>8.1067286883375101E-7</v>
      </c>
      <c r="AC42">
        <f>D42*P42</f>
        <v>-2.3741004693097982E-6</v>
      </c>
      <c r="AD42">
        <f>(C42+0.01)*M42</f>
        <v>8.107539361206343E-3</v>
      </c>
      <c r="AE42">
        <f>(D42-0.01)*P42</f>
        <v>-2.3503594408756718E-6</v>
      </c>
      <c r="AF42">
        <f>(C42+0.05)*M42</f>
        <v>4.053445411455639E-2</v>
      </c>
      <c r="AG42">
        <f>(D42-0.05)*P42</f>
        <v>-2.255395327139166E-6</v>
      </c>
      <c r="AH42">
        <f>(C42+0.1)*M42</f>
        <v>8.1068097556243945E-2</v>
      </c>
      <c r="AI42">
        <f>(D42-0.1)*P42</f>
        <v>-2.1366901849685341E-6</v>
      </c>
      <c r="AK42">
        <f t="shared" si="35"/>
        <v>2.8681719118440105E-6</v>
      </c>
      <c r="AL42">
        <f t="shared" si="36"/>
        <v>3.4928885524856203E-5</v>
      </c>
      <c r="AM42">
        <f t="shared" si="37"/>
        <v>2.1554931733706369E-3</v>
      </c>
      <c r="AN42">
        <f t="shared" si="38"/>
        <v>-1.5634276004760472E-6</v>
      </c>
      <c r="AO42">
        <f t="shared" si="39"/>
        <v>8.1051890017654667E-3</v>
      </c>
      <c r="AP42">
        <f t="shared" si="40"/>
        <v>4.0532198719229251E-2</v>
      </c>
      <c r="AQ42">
        <f t="shared" si="13"/>
        <v>8.1065960866058981E-2</v>
      </c>
    </row>
    <row r="43" spans="1:43" x14ac:dyDescent="0.3">
      <c r="A43">
        <v>20</v>
      </c>
      <c r="B43">
        <v>0.2</v>
      </c>
      <c r="C43">
        <v>9.9999999999999995E-8</v>
      </c>
      <c r="D43">
        <f t="shared" si="34"/>
        <v>0.99999990000000005</v>
      </c>
      <c r="E43">
        <f t="shared" si="31"/>
        <v>4.4721359549995796</v>
      </c>
      <c r="F43">
        <f t="shared" si="32"/>
        <v>19</v>
      </c>
      <c r="G43">
        <f t="shared" si="58"/>
        <v>1.767636921872052</v>
      </c>
      <c r="H43">
        <f t="shared" si="33"/>
        <v>1.5676369218720521</v>
      </c>
      <c r="I43" s="2">
        <f>_xlfn.T.DIST.RT(E43*H43,F43)</f>
        <v>5.6150880640744213E-7</v>
      </c>
      <c r="J43">
        <f>1-I43</f>
        <v>0.99999943849119355</v>
      </c>
      <c r="L43">
        <f>I43/C43</f>
        <v>5.6150880640744214</v>
      </c>
      <c r="M43">
        <f t="shared" si="59"/>
        <v>0.7493565718960804</v>
      </c>
      <c r="O43">
        <f>J43/D43</f>
        <v>0.99999953849114731</v>
      </c>
      <c r="P43">
        <f t="shared" si="60"/>
        <v>-2.0043079432278755E-7</v>
      </c>
      <c r="R43" s="4">
        <f>_xlfn.T.DIST.RT(E43*(G43-0.2),F43)</f>
        <v>5.6150880640744213E-7</v>
      </c>
      <c r="S43">
        <f>R43*M43</f>
        <v>4.2077031425894073E-7</v>
      </c>
      <c r="T43">
        <f>(1-R43)*P43</f>
        <v>-2.0043068177913146E-7</v>
      </c>
      <c r="U43" s="2">
        <f>_xlfn.T.DIST.RT(E43*(G43-0.4),F43)</f>
        <v>3.5107627677756226E-6</v>
      </c>
      <c r="V43">
        <f>U43*M43</f>
        <v>2.6308131524007357E-6</v>
      </c>
      <c r="W43">
        <f>(1-U43)*P43</f>
        <v>-2.0043009065781734E-7</v>
      </c>
      <c r="X43" s="2">
        <f>_xlfn.T.DIST.RT(E43*(G43-0.8),F43)</f>
        <v>1.8149895743907522E-4</v>
      </c>
      <c r="Y43">
        <f>X43*M43</f>
        <v>1.3600743654925801E-4</v>
      </c>
      <c r="Z43">
        <f>(1-X43)*P43</f>
        <v>-2.0039441634257926E-7</v>
      </c>
      <c r="AB43">
        <f>C43*M43</f>
        <v>7.4935657189608037E-8</v>
      </c>
      <c r="AC43">
        <f>D43*P43</f>
        <v>-2.0043077427970812E-7</v>
      </c>
      <c r="AD43">
        <f>(C43+0.01)*M43</f>
        <v>7.4936406546179937E-3</v>
      </c>
      <c r="AE43">
        <f>(D43-0.01)*P43</f>
        <v>-1.9842646633648024E-7</v>
      </c>
      <c r="AF43">
        <f>(C43+0.05)*M43</f>
        <v>3.7467903530461213E-2</v>
      </c>
      <c r="AG43">
        <f>(D43-0.05)*P43</f>
        <v>-1.9040923456356874E-7</v>
      </c>
      <c r="AH43">
        <f>(C43+0.1)*M43</f>
        <v>7.4935732125265234E-2</v>
      </c>
      <c r="AI43">
        <f>(D43-0.1)*P43</f>
        <v>-1.8038769484742937E-7</v>
      </c>
      <c r="AK43">
        <f t="shared" si="35"/>
        <v>2.2033963247980927E-7</v>
      </c>
      <c r="AL43">
        <f t="shared" si="36"/>
        <v>2.4303830617429181E-6</v>
      </c>
      <c r="AM43">
        <f t="shared" si="37"/>
        <v>1.3580704213291542E-4</v>
      </c>
      <c r="AN43">
        <f t="shared" si="38"/>
        <v>-1.2549511709010009E-7</v>
      </c>
      <c r="AO43">
        <f t="shared" si="39"/>
        <v>7.4934422281516576E-3</v>
      </c>
      <c r="AP43">
        <f t="shared" si="40"/>
        <v>3.7467713121226646E-2</v>
      </c>
      <c r="AQ43">
        <f t="shared" si="13"/>
        <v>7.4935551737570383E-2</v>
      </c>
    </row>
    <row r="44" spans="1:43" x14ac:dyDescent="0.3">
      <c r="A44">
        <v>40</v>
      </c>
      <c r="B44">
        <v>0.2</v>
      </c>
      <c r="C44">
        <v>0.5</v>
      </c>
      <c r="D44">
        <f t="shared" si="34"/>
        <v>0.5</v>
      </c>
      <c r="E44">
        <f t="shared" si="31"/>
        <v>6.324555320336759</v>
      </c>
      <c r="F44">
        <f t="shared" si="32"/>
        <v>39</v>
      </c>
      <c r="G44">
        <f t="shared" si="58"/>
        <v>0</v>
      </c>
      <c r="H44">
        <f t="shared" si="33"/>
        <v>-0.2</v>
      </c>
      <c r="I44" s="2">
        <f>_xlfn.T.DIST.RT(E44*H44,F44)</f>
        <v>0.89329525173043378</v>
      </c>
      <c r="J44">
        <f>1-I44</f>
        <v>0.10670474826956622</v>
      </c>
      <c r="L44">
        <f>I44/C44</f>
        <v>1.7865905034608676</v>
      </c>
      <c r="M44">
        <f t="shared" si="59"/>
        <v>0.25202502118670334</v>
      </c>
      <c r="O44">
        <f>J44/D44</f>
        <v>0.21340949653913244</v>
      </c>
      <c r="P44">
        <f t="shared" si="60"/>
        <v>-0.67078625875045583</v>
      </c>
      <c r="R44" s="4">
        <f>_xlfn.T.DIST.RT(E44*(G44-0.2),F44)</f>
        <v>0.89329525173043378</v>
      </c>
      <c r="S44">
        <f>R44*M44</f>
        <v>0.22513275474334407</v>
      </c>
      <c r="T44">
        <f>(1-R44)*P44</f>
        <v>-7.1576078882651495E-2</v>
      </c>
      <c r="U44" s="2">
        <f>_xlfn.T.DIST.RT(E44*(G44-0.4),F44)</f>
        <v>0.99221831877334055</v>
      </c>
      <c r="V44">
        <f>U44*M44</f>
        <v>0.25006384281068633</v>
      </c>
      <c r="W44">
        <f>(1-U44)*P44</f>
        <v>-5.2198448368195533E-3</v>
      </c>
      <c r="X44" s="2">
        <f>_xlfn.T.DIST.RT(E44*(G44-0.8),F44)</f>
        <v>0.99999481316287242</v>
      </c>
      <c r="Y44">
        <f>X44*M44</f>
        <v>0.25202371397396639</v>
      </c>
      <c r="Z44">
        <f>(1-X44)*P44</f>
        <v>-3.4792590715572386E-6</v>
      </c>
      <c r="AB44">
        <f>C44*M44</f>
        <v>0.12601251059335167</v>
      </c>
      <c r="AC44">
        <f>D44*P44</f>
        <v>-0.33539312937522792</v>
      </c>
      <c r="AD44">
        <f>(C44+0.01)*M44</f>
        <v>0.12853276080521869</v>
      </c>
      <c r="AE44">
        <f>(D44-0.01)*P44</f>
        <v>-0.32868526678772336</v>
      </c>
      <c r="AF44">
        <f>(C44+0.05)*M44</f>
        <v>0.13861376165268685</v>
      </c>
      <c r="AG44">
        <f>(D44-0.05)*P44</f>
        <v>-0.30185381643770515</v>
      </c>
      <c r="AH44">
        <f>(C44+0.1)*M44</f>
        <v>0.15121501271202201</v>
      </c>
      <c r="AI44">
        <f>(D44-0.1)*P44</f>
        <v>-0.26831450350018232</v>
      </c>
      <c r="AK44">
        <f t="shared" si="35"/>
        <v>0.15355667586069258</v>
      </c>
      <c r="AL44">
        <f t="shared" si="36"/>
        <v>0.24484399797386677</v>
      </c>
      <c r="AM44">
        <f t="shared" si="37"/>
        <v>0.25202023471489482</v>
      </c>
      <c r="AN44">
        <f t="shared" si="38"/>
        <v>-0.20938061878187625</v>
      </c>
      <c r="AO44">
        <f t="shared" si="39"/>
        <v>-0.20015250598250467</v>
      </c>
      <c r="AP44">
        <f t="shared" si="40"/>
        <v>-0.1632400547850183</v>
      </c>
      <c r="AQ44">
        <f t="shared" si="13"/>
        <v>-0.11709949078816032</v>
      </c>
    </row>
    <row r="45" spans="1:43" x14ac:dyDescent="0.3">
      <c r="A45">
        <v>40</v>
      </c>
      <c r="B45">
        <v>0.2</v>
      </c>
      <c r="C45">
        <v>0.2</v>
      </c>
      <c r="D45">
        <f t="shared" si="34"/>
        <v>0.8</v>
      </c>
      <c r="E45">
        <f t="shared" ref="E45:E73" si="75">SQRT(A45)</f>
        <v>6.324555320336759</v>
      </c>
      <c r="F45">
        <f t="shared" ref="F45:F73" si="76">A45-1</f>
        <v>39</v>
      </c>
      <c r="G45">
        <f t="shared" si="58"/>
        <v>0.13454464018741705</v>
      </c>
      <c r="H45">
        <f t="shared" ref="H45:H73" si="77">G45-B45</f>
        <v>-6.5455359812582964E-2</v>
      </c>
      <c r="I45" s="2">
        <f>_xlfn.T.DIST.RT(E45*H45,F45)</f>
        <v>0.65942021260902139</v>
      </c>
      <c r="J45">
        <f>1-I45</f>
        <v>0.34057978739097861</v>
      </c>
      <c r="L45">
        <f>I45/C45</f>
        <v>3.297101063045107</v>
      </c>
      <c r="M45">
        <f t="shared" si="59"/>
        <v>0.51813225938159102</v>
      </c>
      <c r="O45">
        <f>J45/D45</f>
        <v>0.42572473423872326</v>
      </c>
      <c r="P45">
        <f t="shared" si="60"/>
        <v>-0.37087111695620456</v>
      </c>
      <c r="R45" s="4">
        <f>_xlfn.T.DIST.RT(E45*(G45-0.2),F45)</f>
        <v>0.65942021260902139</v>
      </c>
      <c r="S45">
        <f>R45*M45</f>
        <v>0.34166688464100137</v>
      </c>
      <c r="T45">
        <f>(1-R45)*P45</f>
        <v>-0.12631120616239891</v>
      </c>
      <c r="U45" s="2">
        <f>_xlfn.T.DIST.RT(E45*(G45-0.4),F45)</f>
        <v>0.94941492689124407</v>
      </c>
      <c r="V45">
        <f>U45*M45</f>
        <v>0.49192250116076836</v>
      </c>
      <c r="W45">
        <f>(1-U45)*P45</f>
        <v>-1.8760542565155577E-2</v>
      </c>
      <c r="X45" s="2">
        <f>_xlfn.T.DIST.RT(E45*(G45-0.8),F45)</f>
        <v>0.99992700423083347</v>
      </c>
      <c r="Y45">
        <f>X45*M45</f>
        <v>0.51809443791878751</v>
      </c>
      <c r="Z45">
        <f>(1-X45)*P45</f>
        <v>-2.7072022443867661E-5</v>
      </c>
      <c r="AB45">
        <f>C45*M45</f>
        <v>0.10362645187631821</v>
      </c>
      <c r="AC45">
        <f>D45*P45</f>
        <v>-0.29669689356496365</v>
      </c>
      <c r="AD45">
        <f>(C45+0.01)*M45</f>
        <v>0.10880777447013412</v>
      </c>
      <c r="AE45">
        <f>(D45-0.01)*P45</f>
        <v>-0.29298818239540164</v>
      </c>
      <c r="AF45">
        <f>(C45+0.05)*M45</f>
        <v>0.12953306484539776</v>
      </c>
      <c r="AG45">
        <f>(D45-0.05)*P45</f>
        <v>-0.27815333771715345</v>
      </c>
      <c r="AH45">
        <f>(C45+0.1)*M45</f>
        <v>0.15543967781447732</v>
      </c>
      <c r="AI45">
        <f>(D45-0.1)*P45</f>
        <v>-0.25960978186934319</v>
      </c>
      <c r="AK45">
        <f t="shared" si="35"/>
        <v>0.21535567847860246</v>
      </c>
      <c r="AL45">
        <f t="shared" si="36"/>
        <v>0.47316195859561277</v>
      </c>
      <c r="AM45">
        <f t="shared" si="37"/>
        <v>0.51806736589634361</v>
      </c>
      <c r="AN45">
        <f t="shared" si="38"/>
        <v>-0.19307044168864546</v>
      </c>
      <c r="AO45">
        <f t="shared" si="39"/>
        <v>-0.18418040792526752</v>
      </c>
      <c r="AP45">
        <f t="shared" si="40"/>
        <v>-0.14862027287175569</v>
      </c>
      <c r="AQ45">
        <f t="shared" si="13"/>
        <v>-0.10417010405486588</v>
      </c>
    </row>
    <row r="46" spans="1:43" x14ac:dyDescent="0.3">
      <c r="A46">
        <v>40</v>
      </c>
      <c r="B46">
        <v>0.2</v>
      </c>
      <c r="C46">
        <v>0.16898050000000001</v>
      </c>
      <c r="D46">
        <f t="shared" ref="D46:D75" si="78">1-C46</f>
        <v>0.83101950000000002</v>
      </c>
      <c r="E46">
        <f t="shared" si="75"/>
        <v>6.324555320336759</v>
      </c>
      <c r="F46">
        <f t="shared" si="76"/>
        <v>39</v>
      </c>
      <c r="G46">
        <v>0.15339075071258301</v>
      </c>
      <c r="H46">
        <f t="shared" si="77"/>
        <v>-4.6609249287416998E-2</v>
      </c>
      <c r="I46" s="2">
        <v>0.61513832527024104</v>
      </c>
      <c r="J46">
        <f>1-I46</f>
        <v>0.38486167472975896</v>
      </c>
      <c r="L46">
        <f>I46/C46</f>
        <v>3.6402917808282083</v>
      </c>
      <c r="M46">
        <f>LOG10(L46)</f>
        <v>0.56113619511197499</v>
      </c>
      <c r="O46">
        <f>J46/D46</f>
        <v>0.46311990841341144</v>
      </c>
      <c r="P46">
        <f>LOG10(O46)</f>
        <v>-0.3343065493273169</v>
      </c>
      <c r="R46" s="4">
        <f>_xlfn.T.DIST.RT(E46*(G46-0.2),F46)</f>
        <v>0.61513832527024193</v>
      </c>
      <c r="S46">
        <f>R46*M46</f>
        <v>0.34517637930969602</v>
      </c>
      <c r="T46">
        <f>(1-R46)*P46</f>
        <v>-0.12866177844723767</v>
      </c>
      <c r="U46" s="2">
        <f>_xlfn.T.DIST.RT(E46*(G46-0.4),F46)</f>
        <v>0.93654439772373399</v>
      </c>
      <c r="V46">
        <f>U46*M46</f>
        <v>0.52552895989213233</v>
      </c>
      <c r="W46">
        <f>(1-U46)*P46</f>
        <v>-2.1213623432465127E-2</v>
      </c>
      <c r="X46" s="2">
        <f>_xlfn.T.DIST.RT(E46*(G46-0.8),F46)</f>
        <v>0.99989532517118163</v>
      </c>
      <c r="Y46">
        <f>X46*M46</f>
        <v>0.56107745827680788</v>
      </c>
      <c r="Z46">
        <f>(1-X46)*P46</f>
        <v>-3.4993480823698228E-5</v>
      </c>
      <c r="AB46">
        <f>C46*M46</f>
        <v>9.4821074818119092E-2</v>
      </c>
      <c r="AC46">
        <f>D46*P46</f>
        <v>-0.27781526146871222</v>
      </c>
      <c r="AD46">
        <f>(C46+0.01)*M46</f>
        <v>0.10043243676923885</v>
      </c>
      <c r="AE46">
        <f>(D46-0.01)*P46</f>
        <v>-0.27447219597543909</v>
      </c>
      <c r="AF46">
        <f>(C46+0.05)*M46</f>
        <v>0.12287788457371786</v>
      </c>
      <c r="AG46">
        <f>(D46-0.05)*P46</f>
        <v>-0.26109993400234638</v>
      </c>
      <c r="AH46">
        <f>(C46+0.1)*M46</f>
        <v>0.15093469432931658</v>
      </c>
      <c r="AI46">
        <f>(D46-0.1)*P46</f>
        <v>-0.24438460653598054</v>
      </c>
      <c r="AK46">
        <f t="shared" ref="AK46:AK75" si="79">S46+T46</f>
        <v>0.21651460086245836</v>
      </c>
      <c r="AL46">
        <f t="shared" ref="AL46:AL75" si="80">V46+W46</f>
        <v>0.5043153364596672</v>
      </c>
      <c r="AM46">
        <f t="shared" ref="AM46:AM75" si="81">Y46+Z46</f>
        <v>0.56104246479598419</v>
      </c>
      <c r="AN46">
        <f t="shared" ref="AN46:AN75" si="82">AB46+AC46</f>
        <v>-0.18299418665059314</v>
      </c>
      <c r="AO46">
        <f t="shared" ref="AO46:AO75" si="83">AD46+AE46</f>
        <v>-0.17403975920620024</v>
      </c>
      <c r="AP46">
        <f t="shared" ref="AP46:AP75" si="84">AF46+AG46</f>
        <v>-0.13822204942862854</v>
      </c>
      <c r="AQ46">
        <f t="shared" si="13"/>
        <v>-9.344991220666396E-2</v>
      </c>
    </row>
    <row r="47" spans="1:43" x14ac:dyDescent="0.3">
      <c r="A47">
        <v>40</v>
      </c>
      <c r="B47">
        <v>0.2</v>
      </c>
      <c r="C47">
        <v>0.1</v>
      </c>
      <c r="D47">
        <f t="shared" si="78"/>
        <v>0.9</v>
      </c>
      <c r="E47">
        <f t="shared" si="75"/>
        <v>6.324555320336759</v>
      </c>
      <c r="F47">
        <f t="shared" si="76"/>
        <v>39</v>
      </c>
      <c r="G47">
        <f t="shared" ref="G47:G60" si="85">-_xlfn.T.INV(C47,F47)/E47</f>
        <v>0.2061233592865245</v>
      </c>
      <c r="H47">
        <f t="shared" si="77"/>
        <v>6.1233592865244935E-3</v>
      </c>
      <c r="I47" s="2">
        <f>_xlfn.T.DIST.RT(E47*H47,F47)</f>
        <v>0.48465259909069069</v>
      </c>
      <c r="J47">
        <f>1-I47</f>
        <v>0.51534740090930931</v>
      </c>
      <c r="L47">
        <f>I47/C47</f>
        <v>4.8465259909069065</v>
      </c>
      <c r="M47">
        <f t="shared" ref="M47:M60" si="86">LOG10(L47)</f>
        <v>0.68543054611019361</v>
      </c>
      <c r="O47">
        <f>J47/D47</f>
        <v>0.57260822323256588</v>
      </c>
      <c r="P47">
        <f t="shared" ref="P47:P60" si="87">LOG10(O47)</f>
        <v>-0.24214241936212733</v>
      </c>
      <c r="R47" s="4">
        <f>_xlfn.T.DIST.RT(E47*(G47-0.2),F47)</f>
        <v>0.48465259909069069</v>
      </c>
      <c r="S47">
        <f>R47*M47</f>
        <v>0.33219569566845686</v>
      </c>
      <c r="T47">
        <f>(1-R47)*P47</f>
        <v>-0.12478746646816433</v>
      </c>
      <c r="U47" s="2">
        <f>_xlfn.T.DIST.RT(E47*(G47-0.4),F47)</f>
        <v>0.88625902124626454</v>
      </c>
      <c r="V47">
        <f>U47*M47</f>
        <v>0.60746900492791278</v>
      </c>
      <c r="W47">
        <f>(1-U47)*P47</f>
        <v>-2.7541515776045824E-2</v>
      </c>
      <c r="X47" s="2">
        <f>_xlfn.T.DIST.RT(E47*(G47-0.8),F47)</f>
        <v>0.9997181450537177</v>
      </c>
      <c r="Y47">
        <f>X47*M47</f>
        <v>0.68523735412043951</v>
      </c>
      <c r="Z47">
        <f>(1-X47)*P47</f>
        <v>-6.82490386019787E-5</v>
      </c>
      <c r="AB47">
        <f>C47*M47</f>
        <v>6.8543054611019366E-2</v>
      </c>
      <c r="AC47">
        <f>D47*P47</f>
        <v>-0.21792817742591461</v>
      </c>
      <c r="AD47">
        <f>(C47+0.01)*M47</f>
        <v>7.5397360072121292E-2</v>
      </c>
      <c r="AE47">
        <f>(D47-0.01)*P47</f>
        <v>-0.21550675323229332</v>
      </c>
      <c r="AF47">
        <f>(C47+0.05)*M47</f>
        <v>0.10281458191652905</v>
      </c>
      <c r="AG47">
        <f>(D47-0.05)*P47</f>
        <v>-0.20582105645780821</v>
      </c>
      <c r="AH47">
        <f>(C47+0.1)*M47</f>
        <v>0.13708610922203873</v>
      </c>
      <c r="AI47">
        <f>(D47-0.1)*P47</f>
        <v>-0.19371393548970187</v>
      </c>
      <c r="AK47">
        <f t="shared" si="79"/>
        <v>0.20740822920029253</v>
      </c>
      <c r="AL47">
        <f t="shared" si="80"/>
        <v>0.57992748915186698</v>
      </c>
      <c r="AM47">
        <f t="shared" si="81"/>
        <v>0.68516910508183748</v>
      </c>
      <c r="AN47">
        <f t="shared" si="82"/>
        <v>-0.14938512281489524</v>
      </c>
      <c r="AO47">
        <f t="shared" si="83"/>
        <v>-0.14010939316017201</v>
      </c>
      <c r="AP47">
        <f t="shared" si="84"/>
        <v>-0.10300647454127916</v>
      </c>
      <c r="AQ47">
        <f t="shared" ref="AQ47:AQ106" si="88">AH47+AI47</f>
        <v>-5.6627826267663134E-2</v>
      </c>
    </row>
    <row r="48" spans="1:43" x14ac:dyDescent="0.3">
      <c r="A48">
        <v>40</v>
      </c>
      <c r="B48">
        <v>0.2</v>
      </c>
      <c r="C48">
        <v>0.05</v>
      </c>
      <c r="D48">
        <f t="shared" si="78"/>
        <v>0.95</v>
      </c>
      <c r="E48">
        <f t="shared" si="75"/>
        <v>6.324555320336759</v>
      </c>
      <c r="F48">
        <f t="shared" si="76"/>
        <v>39</v>
      </c>
      <c r="G48">
        <f t="shared" si="85"/>
        <v>0.26640214787804423</v>
      </c>
      <c r="H48">
        <f t="shared" si="77"/>
        <v>6.6402147878044215E-2</v>
      </c>
      <c r="I48" s="2">
        <f>_xlfn.T.DIST.RT(E48*H48,F48)</f>
        <v>0.33840822369004592</v>
      </c>
      <c r="J48">
        <f>1-I48</f>
        <v>0.66159177630995414</v>
      </c>
      <c r="L48">
        <f>I48/C48</f>
        <v>6.7681644738009181</v>
      </c>
      <c r="M48">
        <f t="shared" si="86"/>
        <v>0.83047090399022172</v>
      </c>
      <c r="O48">
        <f>J48/D48</f>
        <v>0.69641239611574124</v>
      </c>
      <c r="P48">
        <f t="shared" si="87"/>
        <v>-0.15713350705966111</v>
      </c>
      <c r="R48" s="4">
        <f>_xlfn.T.DIST.RT(E48*(G48-0.2),F48)</f>
        <v>0.33840822369004592</v>
      </c>
      <c r="S48">
        <f>R48*M48</f>
        <v>0.28103818344559761</v>
      </c>
      <c r="T48">
        <f>(1-R48)*P48</f>
        <v>-0.10395823605341392</v>
      </c>
      <c r="U48" s="2">
        <f>_xlfn.T.DIST.RT(E48*(G48-0.4),F48)</f>
        <v>0.79835284600482082</v>
      </c>
      <c r="V48">
        <f>U48*M48</f>
        <v>0.66300880972478982</v>
      </c>
      <c r="W48">
        <f>(1-U48)*P48</f>
        <v>-3.1685524495862059E-2</v>
      </c>
      <c r="X48" s="2">
        <f>_xlfn.T.DIST.RT(E48*(G48-0.8),F48)</f>
        <v>0.99915899347942094</v>
      </c>
      <c r="Y48">
        <f>X48*M48</f>
        <v>0.82977247254481479</v>
      </c>
      <c r="Z48">
        <f>(1-X48)*P48</f>
        <v>-1.3215030403863033E-4</v>
      </c>
      <c r="AB48">
        <f>C48*M48</f>
        <v>4.152354519951109E-2</v>
      </c>
      <c r="AC48">
        <f>D48*P48</f>
        <v>-0.14927683170667805</v>
      </c>
      <c r="AD48">
        <f>(C48+0.01)*M48</f>
        <v>4.9828254239413304E-2</v>
      </c>
      <c r="AE48">
        <f>(D48-0.01)*P48</f>
        <v>-0.14770549663608143</v>
      </c>
      <c r="AF48">
        <f>(C48+0.05)*M48</f>
        <v>8.304709039902218E-2</v>
      </c>
      <c r="AG48">
        <f>(D48-0.05)*P48</f>
        <v>-0.14142015635369498</v>
      </c>
      <c r="AH48">
        <f>(C48+0.1)*M48</f>
        <v>0.12457063559853328</v>
      </c>
      <c r="AI48">
        <f>(D48-0.1)*P48</f>
        <v>-0.13356348100071194</v>
      </c>
      <c r="AK48">
        <f t="shared" si="79"/>
        <v>0.17707994739218369</v>
      </c>
      <c r="AL48">
        <f t="shared" si="80"/>
        <v>0.63132328522892778</v>
      </c>
      <c r="AM48">
        <f t="shared" si="81"/>
        <v>0.82964032224077611</v>
      </c>
      <c r="AN48">
        <f t="shared" si="82"/>
        <v>-0.10775328650716695</v>
      </c>
      <c r="AO48">
        <f t="shared" si="83"/>
        <v>-9.7877242396668118E-2</v>
      </c>
      <c r="AP48">
        <f t="shared" si="84"/>
        <v>-5.8373065954672801E-2</v>
      </c>
      <c r="AQ48">
        <f t="shared" si="88"/>
        <v>-8.9928454021786647E-3</v>
      </c>
    </row>
    <row r="49" spans="1:43" x14ac:dyDescent="0.3">
      <c r="A49">
        <v>40</v>
      </c>
      <c r="B49">
        <v>0.2</v>
      </c>
      <c r="C49">
        <v>0.02</v>
      </c>
      <c r="D49">
        <f t="shared" si="78"/>
        <v>0.98</v>
      </c>
      <c r="E49">
        <f t="shared" si="75"/>
        <v>6.324555320336759</v>
      </c>
      <c r="F49">
        <f t="shared" si="76"/>
        <v>39</v>
      </c>
      <c r="G49">
        <f t="shared" si="85"/>
        <v>0.33595121928354521</v>
      </c>
      <c r="H49">
        <f t="shared" si="77"/>
        <v>0.1359512192835452</v>
      </c>
      <c r="I49" s="2">
        <f>_xlfn.T.DIST.RT(E49*H49,F49)</f>
        <v>0.19756850266251474</v>
      </c>
      <c r="J49">
        <f>1-I49</f>
        <v>0.80243149733748531</v>
      </c>
      <c r="L49">
        <f>I49/C49</f>
        <v>9.8784251331257362</v>
      </c>
      <c r="M49">
        <f t="shared" si="86"/>
        <v>0.99468771275461865</v>
      </c>
      <c r="O49">
        <f>J49/D49</f>
        <v>0.81880765034437275</v>
      </c>
      <c r="P49">
        <f t="shared" si="87"/>
        <v>-8.6818108258158999E-2</v>
      </c>
      <c r="R49" s="4">
        <f>_xlfn.T.DIST.RT(E49*(G49-0.2),F49)</f>
        <v>0.19756850266251474</v>
      </c>
      <c r="S49">
        <f>R49*M49</f>
        <v>0.19651896202573158</v>
      </c>
      <c r="T49">
        <f>(1-R49)*P49</f>
        <v>-6.9665584605602418E-2</v>
      </c>
      <c r="U49" s="2">
        <f>_xlfn.T.DIST.RT(E49*(G49-0.4),F49)</f>
        <v>0.65618392433069184</v>
      </c>
      <c r="V49">
        <f>U49*M49</f>
        <v>0.65269808683884567</v>
      </c>
      <c r="W49">
        <f>(1-U49)*P49</f>
        <v>-2.9849461278353383E-2</v>
      </c>
      <c r="X49" s="2">
        <f>_xlfn.T.DIST.RT(E49*(G49-0.8),F49)</f>
        <v>0.9972163524043155</v>
      </c>
      <c r="Y49">
        <f>X49*M49</f>
        <v>0.99191885269455238</v>
      </c>
      <c r="Z49">
        <f>(1-X49)*P49</f>
        <v>-2.416710183147011E-4</v>
      </c>
      <c r="AB49">
        <f>C49*M49</f>
        <v>1.9893754255092374E-2</v>
      </c>
      <c r="AC49">
        <f>D49*P49</f>
        <v>-8.5081746092995819E-2</v>
      </c>
      <c r="AD49">
        <f>(C49+0.01)*M49</f>
        <v>2.9840631382638559E-2</v>
      </c>
      <c r="AE49">
        <f>(D49-0.01)*P49</f>
        <v>-8.4213565010414229E-2</v>
      </c>
      <c r="AF49">
        <f>(C49+0.05)*M49</f>
        <v>6.9628139892823307E-2</v>
      </c>
      <c r="AG49">
        <f>(D49-0.05)*P49</f>
        <v>-8.0740840680087869E-2</v>
      </c>
      <c r="AH49">
        <f>(C49+0.1)*M49</f>
        <v>0.11936252553055425</v>
      </c>
      <c r="AI49">
        <f>(D49-0.1)*P49</f>
        <v>-7.6399935267179919E-2</v>
      </c>
      <c r="AK49">
        <f t="shared" si="79"/>
        <v>0.12685337742012914</v>
      </c>
      <c r="AL49">
        <f t="shared" si="80"/>
        <v>0.62284862556049225</v>
      </c>
      <c r="AM49">
        <f t="shared" si="81"/>
        <v>0.99167718167623764</v>
      </c>
      <c r="AN49">
        <f t="shared" si="82"/>
        <v>-6.5187991837903442E-2</v>
      </c>
      <c r="AO49">
        <f t="shared" si="83"/>
        <v>-5.437293362777567E-2</v>
      </c>
      <c r="AP49">
        <f t="shared" si="84"/>
        <v>-1.1112700787264562E-2</v>
      </c>
      <c r="AQ49">
        <f t="shared" si="88"/>
        <v>4.2962590263374331E-2</v>
      </c>
    </row>
    <row r="50" spans="1:43" x14ac:dyDescent="0.3">
      <c r="A50">
        <v>40</v>
      </c>
      <c r="B50">
        <v>0.2</v>
      </c>
      <c r="C50">
        <v>0.01</v>
      </c>
      <c r="D50">
        <f t="shared" si="78"/>
        <v>0.99</v>
      </c>
      <c r="E50">
        <f t="shared" si="75"/>
        <v>6.324555320336759</v>
      </c>
      <c r="F50">
        <f t="shared" si="76"/>
        <v>39</v>
      </c>
      <c r="G50">
        <f t="shared" si="85"/>
        <v>0.3835592048559176</v>
      </c>
      <c r="H50">
        <f t="shared" si="77"/>
        <v>0.18355920485591759</v>
      </c>
      <c r="I50" s="2">
        <f>_xlfn.T.DIST.RT(E50*H50,F50)</f>
        <v>0.12636352571639692</v>
      </c>
      <c r="J50">
        <f>1-I50</f>
        <v>0.87363647428360314</v>
      </c>
      <c r="L50">
        <f>I50/C50</f>
        <v>12.636352571639691</v>
      </c>
      <c r="M50">
        <f t="shared" si="86"/>
        <v>1.1016217348163215</v>
      </c>
      <c r="O50">
        <f>J50/D50</f>
        <v>0.88246108513495269</v>
      </c>
      <c r="P50">
        <f t="shared" si="87"/>
        <v>-5.4304437083243361E-2</v>
      </c>
      <c r="R50" s="4">
        <f>_xlfn.T.DIST.RT(E50*(G50-0.2),F50)</f>
        <v>0.12636352571639692</v>
      </c>
      <c r="S50">
        <f>R50*M50</f>
        <v>0.13920480641720404</v>
      </c>
      <c r="T50">
        <f>(1-R50)*P50</f>
        <v>-4.7442336951360485E-2</v>
      </c>
      <c r="U50" s="2">
        <f>_xlfn.T.DIST.RT(E50*(G50-0.4),F50)</f>
        <v>0.54114122705225753</v>
      </c>
      <c r="V50">
        <f>U50*M50</f>
        <v>0.59613293732594086</v>
      </c>
      <c r="W50">
        <f>(1-U50)*P50</f>
        <v>-2.4918067365634931E-2</v>
      </c>
      <c r="X50" s="2">
        <f>_xlfn.T.DIST.RT(E50*(G50-0.8),F50)</f>
        <v>0.99397801192967616</v>
      </c>
      <c r="Y50">
        <f>X50*M50</f>
        <v>1.0949877818712481</v>
      </c>
      <c r="Z50">
        <f>(1-X50)*P50</f>
        <v>-3.2702067228094285E-4</v>
      </c>
      <c r="AB50">
        <f>C50*M50</f>
        <v>1.1016217348163215E-2</v>
      </c>
      <c r="AC50">
        <f>D50*P50</f>
        <v>-5.3761392712410927E-2</v>
      </c>
      <c r="AD50">
        <f>(C50+0.01)*M50</f>
        <v>2.2032434696326431E-2</v>
      </c>
      <c r="AE50">
        <f>(D50-0.01)*P50</f>
        <v>-5.3218348341578493E-2</v>
      </c>
      <c r="AF50">
        <f>(C50+0.05)*M50</f>
        <v>6.6097304088979292E-2</v>
      </c>
      <c r="AG50">
        <f>(D50-0.05)*P50</f>
        <v>-5.1046170858248759E-2</v>
      </c>
      <c r="AH50">
        <f>(C50+0.1)*M50</f>
        <v>0.12117839082979537</v>
      </c>
      <c r="AI50">
        <f>(D50-0.1)*P50</f>
        <v>-4.833094900408659E-2</v>
      </c>
      <c r="AK50">
        <f t="shared" si="79"/>
        <v>9.1762469465843544E-2</v>
      </c>
      <c r="AL50">
        <f t="shared" si="80"/>
        <v>0.5712148699603059</v>
      </c>
      <c r="AM50">
        <f t="shared" si="81"/>
        <v>1.0946607611989672</v>
      </c>
      <c r="AN50">
        <f t="shared" si="82"/>
        <v>-4.2745175364247712E-2</v>
      </c>
      <c r="AO50">
        <f t="shared" si="83"/>
        <v>-3.1185913645252063E-2</v>
      </c>
      <c r="AP50">
        <f t="shared" si="84"/>
        <v>1.5051133230730533E-2</v>
      </c>
      <c r="AQ50">
        <f t="shared" si="88"/>
        <v>7.2847441825708778E-2</v>
      </c>
    </row>
    <row r="51" spans="1:43" x14ac:dyDescent="0.3">
      <c r="A51">
        <v>40</v>
      </c>
      <c r="B51">
        <v>0.2</v>
      </c>
      <c r="C51">
        <v>5.0000000000000001E-3</v>
      </c>
      <c r="D51">
        <f t="shared" ref="D51" si="89">1-C51</f>
        <v>0.995</v>
      </c>
      <c r="E51">
        <f t="shared" ref="E51" si="90">SQRT(A51)</f>
        <v>6.324555320336759</v>
      </c>
      <c r="F51">
        <f t="shared" ref="F51" si="91">A51-1</f>
        <v>39</v>
      </c>
      <c r="G51">
        <f t="shared" ref="G51" si="92">-_xlfn.T.INV(C51,F51)/E51</f>
        <v>0.42815866829566684</v>
      </c>
      <c r="H51">
        <f t="shared" ref="H51" si="93">G51-B51</f>
        <v>0.22815866829566683</v>
      </c>
      <c r="I51" s="2">
        <f>_xlfn.T.DIST.RT(E51*H51,F51)</f>
        <v>7.8502144662902382E-2</v>
      </c>
      <c r="J51">
        <f>1-I51</f>
        <v>0.9214978553370976</v>
      </c>
      <c r="L51">
        <f>I51/C51</f>
        <v>15.700428932580476</v>
      </c>
      <c r="M51">
        <f t="shared" ref="M51" si="94">LOG10(L51)</f>
        <v>1.1959115174097545</v>
      </c>
      <c r="O51">
        <f>J51/D51</f>
        <v>0.92612849782622875</v>
      </c>
      <c r="P51">
        <f t="shared" ref="P51" si="95">LOG10(O51)</f>
        <v>-3.3328751951726625E-2</v>
      </c>
      <c r="R51" s="4">
        <f>_xlfn.T.DIST.RT(E51*(G51-0.2),F51)</f>
        <v>7.8502144662902382E-2</v>
      </c>
      <c r="S51">
        <f>R51*M51</f>
        <v>9.3881618943731648E-2</v>
      </c>
      <c r="T51">
        <f>(1-R51)*P51</f>
        <v>-3.0712373444578191E-2</v>
      </c>
      <c r="U51" s="2">
        <f>_xlfn.T.DIST.RT(E51*(G51-0.4),F51)</f>
        <v>0.42978665958895368</v>
      </c>
      <c r="V51">
        <f>U51*M51</f>
        <v>0.51398681623149522</v>
      </c>
      <c r="W51">
        <f>(1-U51)*P51</f>
        <v>-1.900449898212522E-2</v>
      </c>
      <c r="X51" s="2">
        <f>_xlfn.T.DIST.RT(E51*(G51-0.8),F51)</f>
        <v>0.98808437505566504</v>
      </c>
      <c r="Y51">
        <f>X51*M51</f>
        <v>1.1816614843016895</v>
      </c>
      <c r="Z51">
        <f>(1-X51)*P51</f>
        <v>-3.9713290811954616E-4</v>
      </c>
      <c r="AB51">
        <f>C51*M51</f>
        <v>5.9795575870487732E-3</v>
      </c>
      <c r="AC51">
        <f>D51*P51</f>
        <v>-3.3162108191967993E-2</v>
      </c>
      <c r="AD51">
        <f>(C51+0.01)*M51</f>
        <v>1.7938672761146319E-2</v>
      </c>
      <c r="AE51">
        <f>(D51-0.01)*P51</f>
        <v>-3.2828820672450722E-2</v>
      </c>
      <c r="AF51">
        <f>(C51+0.05)*M51</f>
        <v>6.5775133457536494E-2</v>
      </c>
      <c r="AG51">
        <f>(D51-0.05)*P51</f>
        <v>-3.1495670594381658E-2</v>
      </c>
      <c r="AH51">
        <f>(C51+0.1)*M51</f>
        <v>0.12557070932802425</v>
      </c>
      <c r="AI51">
        <f>(D51-0.1)*P51</f>
        <v>-2.9829232996795331E-2</v>
      </c>
      <c r="AK51">
        <f t="shared" ref="AK51" si="96">S51+T51</f>
        <v>6.3169245499153454E-2</v>
      </c>
      <c r="AL51">
        <f t="shared" ref="AL51" si="97">V51+W51</f>
        <v>0.49498231724937003</v>
      </c>
      <c r="AM51">
        <f t="shared" ref="AM51" si="98">Y51+Z51</f>
        <v>1.1812643513935699</v>
      </c>
      <c r="AN51">
        <f t="shared" ref="AN51" si="99">AB51+AC51</f>
        <v>-2.7182550604919219E-2</v>
      </c>
      <c r="AO51">
        <f t="shared" ref="AO51" si="100">AD51+AE51</f>
        <v>-1.4890147911304403E-2</v>
      </c>
      <c r="AP51">
        <f t="shared" ref="AP51" si="101">AF51+AG51</f>
        <v>3.4279462863154836E-2</v>
      </c>
      <c r="AQ51">
        <f t="shared" ref="AQ51" si="102">AH51+AI51</f>
        <v>9.5741476331228925E-2</v>
      </c>
    </row>
    <row r="52" spans="1:43" x14ac:dyDescent="0.3">
      <c r="A52">
        <v>40</v>
      </c>
      <c r="B52">
        <v>0.2</v>
      </c>
      <c r="C52">
        <v>2E-3</v>
      </c>
      <c r="D52">
        <f t="shared" si="78"/>
        <v>0.998</v>
      </c>
      <c r="E52">
        <f t="shared" si="75"/>
        <v>6.324555320336759</v>
      </c>
      <c r="F52">
        <f t="shared" si="76"/>
        <v>39</v>
      </c>
      <c r="G52">
        <f t="shared" si="85"/>
        <v>0.48371608563369134</v>
      </c>
      <c r="H52">
        <f t="shared" si="77"/>
        <v>0.28371608563369133</v>
      </c>
      <c r="I52" s="2">
        <f>_xlfn.T.DIST.RT(E52*H52,F52)</f>
        <v>4.0253720616492808E-2</v>
      </c>
      <c r="J52">
        <f>1-I52</f>
        <v>0.95974627938350721</v>
      </c>
      <c r="L52">
        <f>I52/C52</f>
        <v>20.126860308246403</v>
      </c>
      <c r="M52">
        <f t="shared" si="86"/>
        <v>1.3037760323575287</v>
      </c>
      <c r="O52">
        <f>J52/D52</f>
        <v>0.96166961862074873</v>
      </c>
      <c r="P52">
        <f t="shared" si="87"/>
        <v>-1.6974104109644242E-2</v>
      </c>
      <c r="R52" s="4">
        <f>_xlfn.T.DIST.RT(E52*(G52-0.2),F52)</f>
        <v>4.0253720616492808E-2</v>
      </c>
      <c r="S52">
        <f>R52*M52</f>
        <v>5.248183615299945E-2</v>
      </c>
      <c r="T52">
        <f>(1-R52)*P52</f>
        <v>-1.629083326509936E-2</v>
      </c>
      <c r="U52" s="2">
        <f>_xlfn.T.DIST.RT(E52*(G52-0.4),F52)</f>
        <v>0.29974136014648944</v>
      </c>
      <c r="V52">
        <f>U52*M52</f>
        <v>0.3907956012652391</v>
      </c>
      <c r="W52">
        <f>(1-U52)*P52</f>
        <v>-1.188626305655136E-2</v>
      </c>
      <c r="X52" s="2">
        <f>_xlfn.T.DIST.RT(E52*(G52-0.8),F52)</f>
        <v>0.97377045749692825</v>
      </c>
      <c r="Y52">
        <f>X52*M52</f>
        <v>1.2695785835023206</v>
      </c>
      <c r="Z52">
        <f>(1-X52)*P52</f>
        <v>-4.4522298519547842E-4</v>
      </c>
      <c r="AB52">
        <f>C52*M52</f>
        <v>2.6075520647150575E-3</v>
      </c>
      <c r="AC52">
        <f>D52*P52</f>
        <v>-1.6940155901424954E-2</v>
      </c>
      <c r="AD52">
        <f>(C52+0.01)*M52</f>
        <v>1.5645312388290346E-2</v>
      </c>
      <c r="AE52">
        <f>(D52-0.01)*P52</f>
        <v>-1.6770414860328511E-2</v>
      </c>
      <c r="AF52">
        <f>(C52+0.05)*M52</f>
        <v>6.7796353682591501E-2</v>
      </c>
      <c r="AG52">
        <f>(D52-0.05)*P52</f>
        <v>-1.6091450695942741E-2</v>
      </c>
      <c r="AH52">
        <f>(C52+0.1)*M52</f>
        <v>0.13298515530046795</v>
      </c>
      <c r="AI52">
        <f>(D52-0.1)*P52</f>
        <v>-1.524274549046053E-2</v>
      </c>
      <c r="AK52">
        <f t="shared" si="79"/>
        <v>3.6191002887900087E-2</v>
      </c>
      <c r="AL52">
        <f t="shared" si="80"/>
        <v>0.37890933820868772</v>
      </c>
      <c r="AM52">
        <f t="shared" si="81"/>
        <v>1.2691333605171251</v>
      </c>
      <c r="AN52">
        <f t="shared" si="82"/>
        <v>-1.4332603836709897E-2</v>
      </c>
      <c r="AO52">
        <f t="shared" si="83"/>
        <v>-1.1251024720381649E-3</v>
      </c>
      <c r="AP52">
        <f t="shared" si="84"/>
        <v>5.170490298664876E-2</v>
      </c>
      <c r="AQ52">
        <f t="shared" si="88"/>
        <v>0.11774240981000741</v>
      </c>
    </row>
    <row r="53" spans="1:43" x14ac:dyDescent="0.3">
      <c r="A53">
        <v>40</v>
      </c>
      <c r="B53">
        <v>0.2</v>
      </c>
      <c r="C53">
        <v>1E-3</v>
      </c>
      <c r="D53">
        <f t="shared" si="78"/>
        <v>0.999</v>
      </c>
      <c r="E53">
        <f t="shared" si="75"/>
        <v>6.324555320336759</v>
      </c>
      <c r="F53">
        <f t="shared" si="76"/>
        <v>39</v>
      </c>
      <c r="G53">
        <f t="shared" si="85"/>
        <v>0.52379778733526949</v>
      </c>
      <c r="H53">
        <f t="shared" si="77"/>
        <v>0.32379778733526948</v>
      </c>
      <c r="I53" s="2">
        <f>_xlfn.T.DIST.RT(E53*H53,F53)</f>
        <v>2.3674042570036167E-2</v>
      </c>
      <c r="J53">
        <f>1-I53</f>
        <v>0.97632595742996386</v>
      </c>
      <c r="L53">
        <f>I53/C53</f>
        <v>23.674042570036168</v>
      </c>
      <c r="M53">
        <f t="shared" si="86"/>
        <v>1.3742724242135138</v>
      </c>
      <c r="O53">
        <f>J53/D53</f>
        <v>0.97730326069065454</v>
      </c>
      <c r="P53">
        <f t="shared" si="87"/>
        <v>-9.9706522400438632E-3</v>
      </c>
      <c r="R53" s="4">
        <f>_xlfn.T.DIST.RT(E53*(G53-0.2),F53)</f>
        <v>2.3674042570036167E-2</v>
      </c>
      <c r="S53">
        <f>R53*M53</f>
        <v>3.2534583873657527E-2</v>
      </c>
      <c r="T53">
        <f>(1-R53)*P53</f>
        <v>-9.7346065944620384E-3</v>
      </c>
      <c r="U53" s="2">
        <f>_xlfn.T.DIST.RT(E53*(G53-0.4),F53)</f>
        <v>0.21918795324878237</v>
      </c>
      <c r="V53">
        <f>U53*M53</f>
        <v>0.30122395986960249</v>
      </c>
      <c r="W53">
        <f>(1-U53)*P53</f>
        <v>-7.785205382993262E-3</v>
      </c>
      <c r="X53" s="2">
        <f>_xlfn.T.DIST.RT(E53*(G53-0.8),F53)</f>
        <v>0.95573283402566922</v>
      </c>
      <c r="Y53">
        <f>X53*M53</f>
        <v>1.3134372787169082</v>
      </c>
      <c r="Z53">
        <f>(1-X53)*P53</f>
        <v>-4.4137251758235468E-4</v>
      </c>
      <c r="AB53">
        <f>C53*M53</f>
        <v>1.3742724242135139E-3</v>
      </c>
      <c r="AC53">
        <f>D53*P53</f>
        <v>-9.9606815878038185E-3</v>
      </c>
      <c r="AD53">
        <f>(C53+0.01)*M53</f>
        <v>1.511699666634865E-2</v>
      </c>
      <c r="AE53">
        <f>(D53-0.01)*P53</f>
        <v>-9.8609750654033799E-3</v>
      </c>
      <c r="AF53">
        <f>(C53+0.05)*M53</f>
        <v>7.0087893634889209E-2</v>
      </c>
      <c r="AG53">
        <f>(D53-0.05)*P53</f>
        <v>-9.4621489758016254E-3</v>
      </c>
      <c r="AH53">
        <f>(C53+0.1)*M53</f>
        <v>0.13880151484556491</v>
      </c>
      <c r="AI53">
        <f>(D53-0.1)*P53</f>
        <v>-8.9636163637994339E-3</v>
      </c>
      <c r="AK53">
        <f t="shared" si="79"/>
        <v>2.2799977279195489E-2</v>
      </c>
      <c r="AL53">
        <f t="shared" si="80"/>
        <v>0.29343875448660922</v>
      </c>
      <c r="AM53">
        <f t="shared" si="81"/>
        <v>1.3129959061993259</v>
      </c>
      <c r="AN53">
        <f t="shared" si="82"/>
        <v>-8.5864091635903042E-3</v>
      </c>
      <c r="AO53">
        <f t="shared" si="83"/>
        <v>5.2560216009452706E-3</v>
      </c>
      <c r="AP53">
        <f t="shared" si="84"/>
        <v>6.0625744659087585E-2</v>
      </c>
      <c r="AQ53">
        <f t="shared" si="88"/>
        <v>0.12983789848176547</v>
      </c>
    </row>
    <row r="54" spans="1:43" x14ac:dyDescent="0.3">
      <c r="A54">
        <v>40</v>
      </c>
      <c r="B54">
        <v>0.2</v>
      </c>
      <c r="C54">
        <v>1E-4</v>
      </c>
      <c r="D54">
        <f t="shared" si="78"/>
        <v>0.99990000000000001</v>
      </c>
      <c r="E54">
        <f t="shared" si="75"/>
        <v>6.324555320336759</v>
      </c>
      <c r="F54">
        <f t="shared" si="76"/>
        <v>39</v>
      </c>
      <c r="G54">
        <f t="shared" si="85"/>
        <v>0.64900709181898564</v>
      </c>
      <c r="H54">
        <f t="shared" si="77"/>
        <v>0.44900709181898563</v>
      </c>
      <c r="I54" s="2">
        <f>_xlfn.T.DIST.RT(E54*H54,F54)</f>
        <v>3.5682837339249449E-3</v>
      </c>
      <c r="J54">
        <f>1-I54</f>
        <v>0.99643171626607507</v>
      </c>
      <c r="L54">
        <f>I54/C54</f>
        <v>35.682837339249446</v>
      </c>
      <c r="M54">
        <f t="shared" si="86"/>
        <v>1.5524593802272606</v>
      </c>
      <c r="O54">
        <f>J54/D54</f>
        <v>0.99653136940301534</v>
      </c>
      <c r="P54">
        <f t="shared" si="87"/>
        <v>-1.5090257701140628E-3</v>
      </c>
      <c r="R54" s="4">
        <f>_xlfn.T.DIST.RT(E54*(G54-0.2),F54)</f>
        <v>3.5682837339249449E-3</v>
      </c>
      <c r="S54">
        <f>R54*M54</f>
        <v>5.5396155540441356E-3</v>
      </c>
      <c r="T54">
        <f>(1-R54)*P54</f>
        <v>-1.5036411380044913E-3</v>
      </c>
      <c r="U54" s="2">
        <f>_xlfn.T.DIST.RT(E54*(G54-0.4),F54)</f>
        <v>6.1683646856605476E-2</v>
      </c>
      <c r="V54">
        <f>U54*M54</f>
        <v>9.5761356169162953E-2</v>
      </c>
      <c r="W54">
        <f>(1-U54)*P54</f>
        <v>-1.4159435574128299E-3</v>
      </c>
      <c r="X54" s="2">
        <f>_xlfn.T.DIST.RT(E54*(G54-0.8),F54)</f>
        <v>0.82726073909107112</v>
      </c>
      <c r="Y54">
        <f>X54*M54</f>
        <v>1.2842886942956697</v>
      </c>
      <c r="Z54">
        <f>(1-X54)*P54</f>
        <v>-2.6066799622203045E-4</v>
      </c>
      <c r="AB54">
        <f>C54*M54</f>
        <v>1.5524593802272607E-4</v>
      </c>
      <c r="AC54">
        <f>D54*P54</f>
        <v>-1.5088748675370514E-3</v>
      </c>
      <c r="AD54">
        <f>(C54+0.01)*M54</f>
        <v>1.5679839740295333E-2</v>
      </c>
      <c r="AE54">
        <f>(D54-0.01)*P54</f>
        <v>-1.4937846098359107E-3</v>
      </c>
      <c r="AF54">
        <f>(C54+0.05)*M54</f>
        <v>7.7778214949385763E-2</v>
      </c>
      <c r="AG54">
        <f>(D54-0.05)*P54</f>
        <v>-1.4334235790313481E-3</v>
      </c>
      <c r="AH54">
        <f>(C54+0.1)*M54</f>
        <v>0.15540118396074881</v>
      </c>
      <c r="AI54">
        <f>(D54-0.1)*P54</f>
        <v>-1.3579722905256452E-3</v>
      </c>
      <c r="AK54">
        <f t="shared" si="79"/>
        <v>4.035974416039644E-3</v>
      </c>
      <c r="AL54">
        <f t="shared" si="80"/>
        <v>9.4345412611750126E-2</v>
      </c>
      <c r="AM54">
        <f t="shared" si="81"/>
        <v>1.2840280262994477</v>
      </c>
      <c r="AN54">
        <f t="shared" si="82"/>
        <v>-1.3536289295143253E-3</v>
      </c>
      <c r="AO54">
        <f t="shared" si="83"/>
        <v>1.4186055130459422E-2</v>
      </c>
      <c r="AP54">
        <f t="shared" si="84"/>
        <v>7.6344791370354409E-2</v>
      </c>
      <c r="AQ54">
        <f t="shared" si="88"/>
        <v>0.15404321167022317</v>
      </c>
    </row>
    <row r="55" spans="1:43" x14ac:dyDescent="0.3">
      <c r="A55">
        <v>40</v>
      </c>
      <c r="B55">
        <v>0.2</v>
      </c>
      <c r="C55">
        <v>1.0000000000000001E-5</v>
      </c>
      <c r="D55">
        <f t="shared" si="78"/>
        <v>0.99999000000000005</v>
      </c>
      <c r="E55">
        <f t="shared" si="75"/>
        <v>6.324555320336759</v>
      </c>
      <c r="F55">
        <f t="shared" si="76"/>
        <v>39</v>
      </c>
      <c r="G55">
        <f t="shared" si="85"/>
        <v>0.76706016923266507</v>
      </c>
      <c r="H55">
        <f t="shared" si="77"/>
        <v>0.56706016923266511</v>
      </c>
      <c r="I55" s="2">
        <f>_xlfn.T.DIST.RT(E55*H55,F55)</f>
        <v>4.61006563344459E-4</v>
      </c>
      <c r="J55">
        <f>1-I55</f>
        <v>0.99953899343665553</v>
      </c>
      <c r="L55">
        <f>I55/C55</f>
        <v>46.100656334445894</v>
      </c>
      <c r="M55">
        <f t="shared" si="86"/>
        <v>1.6637071084785646</v>
      </c>
      <c r="O55">
        <f>J55/D55</f>
        <v>0.99954898892654476</v>
      </c>
      <c r="P55">
        <f t="shared" si="87"/>
        <v>-1.9591580389908731E-4</v>
      </c>
      <c r="R55" s="4">
        <f>_xlfn.T.DIST.RT(E55*(G55-0.2),F55)</f>
        <v>4.61006563344459E-4</v>
      </c>
      <c r="S55">
        <f>R55*M55</f>
        <v>7.6697989649145008E-4</v>
      </c>
      <c r="T55">
        <f>(1-R55)*P55</f>
        <v>-1.9582548542762692E-4</v>
      </c>
      <c r="U55" s="2">
        <f>_xlfn.T.DIST.RT(E55*(G55-0.4),F55)</f>
        <v>1.2787999111442253E-2</v>
      </c>
      <c r="V55">
        <f>U55*M55</f>
        <v>2.1275485024924042E-2</v>
      </c>
      <c r="W55">
        <f>(1-U55)*P55</f>
        <v>-1.9341043277290828E-4</v>
      </c>
      <c r="X55" s="2">
        <f>_xlfn.T.DIST.RT(E55*(G55-0.8),F55)</f>
        <v>0.58197215704559857</v>
      </c>
      <c r="Y55">
        <f>X55*M55</f>
        <v>0.96823121461336592</v>
      </c>
      <c r="Z55">
        <f>(1-X55)*P55</f>
        <v>-8.1898260904612972E-5</v>
      </c>
      <c r="AB55">
        <f>C55*M55</f>
        <v>1.6637071084785648E-5</v>
      </c>
      <c r="AC55">
        <f>D55*P55</f>
        <v>-1.9591384474104833E-4</v>
      </c>
      <c r="AD55">
        <f>(C55+0.01)*M55</f>
        <v>1.6653708155870431E-2</v>
      </c>
      <c r="AE55">
        <f>(D55-0.01)*P55</f>
        <v>-1.9395468670205745E-4</v>
      </c>
      <c r="AF55">
        <f>(C55+0.05)*M55</f>
        <v>8.3201992495013033E-2</v>
      </c>
      <c r="AG55">
        <f>(D55-0.05)*P55</f>
        <v>-1.8611805454609394E-4</v>
      </c>
      <c r="AH55">
        <f>(C55+0.1)*M55</f>
        <v>0.16638734791894125</v>
      </c>
      <c r="AI55">
        <f>(D55-0.1)*P55</f>
        <v>-1.7632226435113961E-4</v>
      </c>
      <c r="AK55">
        <f t="shared" si="79"/>
        <v>5.711544110638231E-4</v>
      </c>
      <c r="AL55">
        <f t="shared" si="80"/>
        <v>2.1082074592151133E-2</v>
      </c>
      <c r="AM55">
        <f t="shared" si="81"/>
        <v>0.96814931635246126</v>
      </c>
      <c r="AN55">
        <f t="shared" si="82"/>
        <v>-1.7927677365626269E-4</v>
      </c>
      <c r="AO55">
        <f t="shared" si="83"/>
        <v>1.6459753469168375E-2</v>
      </c>
      <c r="AP55">
        <f t="shared" si="84"/>
        <v>8.3015874440466944E-2</v>
      </c>
      <c r="AQ55">
        <f t="shared" si="88"/>
        <v>0.16621102565459012</v>
      </c>
    </row>
    <row r="56" spans="1:43" x14ac:dyDescent="0.3">
      <c r="A56">
        <v>40</v>
      </c>
      <c r="B56">
        <v>0.2</v>
      </c>
      <c r="C56">
        <v>9.9999999999999995E-7</v>
      </c>
      <c r="D56">
        <f t="shared" si="78"/>
        <v>0.99999899999999997</v>
      </c>
      <c r="E56">
        <f t="shared" si="75"/>
        <v>6.324555320336759</v>
      </c>
      <c r="F56">
        <f t="shared" si="76"/>
        <v>39</v>
      </c>
      <c r="G56">
        <f t="shared" si="85"/>
        <v>0.88186186626487206</v>
      </c>
      <c r="H56">
        <f t="shared" si="77"/>
        <v>0.68186186626487211</v>
      </c>
      <c r="I56" s="2">
        <f>_xlfn.T.DIST.RT(E56*H56,F56)</f>
        <v>5.3206931503954448E-5</v>
      </c>
      <c r="J56">
        <f>1-I56</f>
        <v>0.9999467930684961</v>
      </c>
      <c r="L56">
        <f>I56/C56</f>
        <v>53.206931503954451</v>
      </c>
      <c r="M56">
        <f t="shared" si="86"/>
        <v>1.7259682134572041</v>
      </c>
      <c r="O56">
        <f>J56/D56</f>
        <v>0.99994779301628911</v>
      </c>
      <c r="P56">
        <f t="shared" si="87"/>
        <v>-2.2673796812872798E-5</v>
      </c>
      <c r="R56" s="4">
        <f>_xlfn.T.DIST.RT(E56*(G56-0.2),F56)</f>
        <v>5.3206931503954448E-5</v>
      </c>
      <c r="S56">
        <f>R56*M56</f>
        <v>9.1833472511420087E-5</v>
      </c>
      <c r="T56">
        <f>(1-R56)*P56</f>
        <v>-2.2672590409718842E-5</v>
      </c>
      <c r="U56" s="2">
        <f>_xlfn.T.DIST.RT(E56*(G56-0.4),F56)</f>
        <v>2.0638959369279042E-3</v>
      </c>
      <c r="V56">
        <f>U56*M56</f>
        <v>3.5622187830210371E-3</v>
      </c>
      <c r="W56">
        <f>(1-U56)*P56</f>
        <v>-2.2627000455755983E-5</v>
      </c>
      <c r="X56" s="2">
        <f>_xlfn.T.DIST.RT(E56*(G56-0.8),F56)</f>
        <v>0.30378218158447529</v>
      </c>
      <c r="Y56">
        <f>X56*M56</f>
        <v>0.52431838922948881</v>
      </c>
      <c r="Z56">
        <f>(1-X56)*P56</f>
        <v>-1.5785901352255179E-5</v>
      </c>
      <c r="AB56">
        <f>C56*M56</f>
        <v>1.7259682134572041E-6</v>
      </c>
      <c r="AC56">
        <f>D56*P56</f>
        <v>-2.2673774139075985E-5</v>
      </c>
      <c r="AD56">
        <f>(C56+0.01)*M56</f>
        <v>1.7261408102785498E-2</v>
      </c>
      <c r="AE56">
        <f>(D56-0.01)*P56</f>
        <v>-2.2447036170947257E-5</v>
      </c>
      <c r="AF56">
        <f>(C56+0.05)*M56</f>
        <v>8.6300136641073666E-2</v>
      </c>
      <c r="AG56">
        <f>(D56-0.05)*P56</f>
        <v>-2.1540084298432344E-5</v>
      </c>
      <c r="AH56">
        <f>(C56+0.1)*M56</f>
        <v>0.17259854731393387</v>
      </c>
      <c r="AI56">
        <f>(D56-0.1)*P56</f>
        <v>-2.0406394457788706E-5</v>
      </c>
      <c r="AK56">
        <f t="shared" si="79"/>
        <v>6.9160882101701248E-5</v>
      </c>
      <c r="AL56">
        <f t="shared" si="80"/>
        <v>3.5395917825652812E-3</v>
      </c>
      <c r="AM56">
        <f t="shared" si="81"/>
        <v>0.52430260332813661</v>
      </c>
      <c r="AN56">
        <f t="shared" si="82"/>
        <v>-2.094780592561878E-5</v>
      </c>
      <c r="AO56">
        <f t="shared" si="83"/>
        <v>1.7238961066614551E-2</v>
      </c>
      <c r="AP56">
        <f t="shared" si="84"/>
        <v>8.6278596556775236E-2</v>
      </c>
      <c r="AQ56">
        <f t="shared" si="88"/>
        <v>0.17257814091947607</v>
      </c>
    </row>
    <row r="57" spans="1:43" x14ac:dyDescent="0.3">
      <c r="A57">
        <v>40</v>
      </c>
      <c r="B57">
        <v>0.2</v>
      </c>
      <c r="C57">
        <v>9.9999999999999995E-8</v>
      </c>
      <c r="D57">
        <f t="shared" si="78"/>
        <v>0.99999990000000005</v>
      </c>
      <c r="E57">
        <f t="shared" si="75"/>
        <v>6.324555320336759</v>
      </c>
      <c r="F57">
        <f t="shared" si="76"/>
        <v>39</v>
      </c>
      <c r="G57">
        <f t="shared" si="85"/>
        <v>0.99573764004556464</v>
      </c>
      <c r="H57">
        <f t="shared" si="77"/>
        <v>0.79573764004556469</v>
      </c>
      <c r="I57" s="2">
        <f>_xlfn.T.DIST.RT(E57*H57,F57)</f>
        <v>5.6480588024308421E-6</v>
      </c>
      <c r="J57">
        <f>1-I57</f>
        <v>0.99999435194119757</v>
      </c>
      <c r="L57">
        <f>I57/C57</f>
        <v>56.480588024308425</v>
      </c>
      <c r="M57">
        <f t="shared" si="86"/>
        <v>1.7518992095448629</v>
      </c>
      <c r="O57">
        <f>J57/D57</f>
        <v>0.99999445194064274</v>
      </c>
      <c r="P57">
        <f t="shared" si="87"/>
        <v>-2.4094982481569471E-6</v>
      </c>
      <c r="R57" s="4">
        <f>_xlfn.T.DIST.RT(E57*(G57-0.2),F57)</f>
        <v>5.6480588024308421E-6</v>
      </c>
      <c r="S57">
        <f>R57*M57</f>
        <v>9.8948297514414979E-6</v>
      </c>
      <c r="T57">
        <f>(1-R57)*P57</f>
        <v>-2.409484639169157E-6</v>
      </c>
      <c r="U57" s="2">
        <f>_xlfn.T.DIST.RT(E57*(G57-0.4),F57)</f>
        <v>2.7230829694647893E-4</v>
      </c>
      <c r="V57">
        <f>U57*M57</f>
        <v>4.7705669017304427E-4</v>
      </c>
      <c r="W57">
        <f>(1-U57)*P57</f>
        <v>-2.4088421217924958E-6</v>
      </c>
      <c r="X57" s="2">
        <f>_xlfn.T.DIST.RT(E57*(G57-0.8),F57)</f>
        <v>0.11156708793092708</v>
      </c>
      <c r="Y57">
        <f>X57*M57</f>
        <v>0.19545429315741336</v>
      </c>
      <c r="Z57">
        <f>(1-X57)*P57</f>
        <v>-2.1406775452354064E-6</v>
      </c>
      <c r="AB57">
        <f>C57*M57</f>
        <v>1.7518992095448627E-7</v>
      </c>
      <c r="AC57">
        <f>D57*P57</f>
        <v>-2.4094980072071225E-6</v>
      </c>
      <c r="AD57">
        <f>(C57+0.01)*M57</f>
        <v>1.7519167285369584E-2</v>
      </c>
      <c r="AE57">
        <f>(D57-0.01)*P57</f>
        <v>-2.3854030247255528E-6</v>
      </c>
      <c r="AF57">
        <f>(C57+0.05)*M57</f>
        <v>8.7595135667164106E-2</v>
      </c>
      <c r="AG57">
        <f>(D57-0.05)*P57</f>
        <v>-2.2890230947992748E-6</v>
      </c>
      <c r="AH57">
        <f>(C57+0.1)*M57</f>
        <v>0.17519009614440725</v>
      </c>
      <c r="AI57">
        <f>(D57-0.1)*P57</f>
        <v>-2.1685481823914276E-6</v>
      </c>
      <c r="AK57">
        <f t="shared" si="79"/>
        <v>7.4853451122723409E-6</v>
      </c>
      <c r="AL57">
        <f t="shared" si="80"/>
        <v>4.7464784805125175E-4</v>
      </c>
      <c r="AM57">
        <f t="shared" si="81"/>
        <v>0.19545215247986814</v>
      </c>
      <c r="AN57">
        <f t="shared" si="82"/>
        <v>-2.2343080862526363E-6</v>
      </c>
      <c r="AO57">
        <f t="shared" si="83"/>
        <v>1.7516781882344859E-2</v>
      </c>
      <c r="AP57">
        <f t="shared" si="84"/>
        <v>8.7592846644069314E-2</v>
      </c>
      <c r="AQ57">
        <f t="shared" si="88"/>
        <v>0.17518792759622487</v>
      </c>
    </row>
    <row r="58" spans="1:43" x14ac:dyDescent="0.3">
      <c r="A58">
        <v>80</v>
      </c>
      <c r="B58">
        <v>0.2</v>
      </c>
      <c r="C58">
        <v>0.5</v>
      </c>
      <c r="D58">
        <f t="shared" si="78"/>
        <v>0.5</v>
      </c>
      <c r="E58">
        <f t="shared" si="75"/>
        <v>8.9442719099991592</v>
      </c>
      <c r="F58">
        <f t="shared" si="76"/>
        <v>79</v>
      </c>
      <c r="G58">
        <f t="shared" si="85"/>
        <v>0</v>
      </c>
      <c r="H58">
        <f t="shared" si="77"/>
        <v>-0.2</v>
      </c>
      <c r="I58" s="2">
        <f>_xlfn.T.DIST.RT(E58*H58,F58)</f>
        <v>0.96126423894019108</v>
      </c>
      <c r="J58">
        <f>1-I58</f>
        <v>3.8735761059808915E-2</v>
      </c>
      <c r="L58">
        <f>I58/C58</f>
        <v>1.9225284778803822</v>
      </c>
      <c r="M58">
        <f t="shared" si="86"/>
        <v>0.2838727816046549</v>
      </c>
      <c r="O58">
        <f>J58/D58</f>
        <v>7.7471522119617831E-2</v>
      </c>
      <c r="P58">
        <f t="shared" si="87"/>
        <v>-1.1108579111604633</v>
      </c>
      <c r="R58" s="4">
        <f>_xlfn.T.DIST.RT(E58*(G58-0.2),F58)</f>
        <v>0.96126423894019108</v>
      </c>
      <c r="S58">
        <f>R58*M58</f>
        <v>0.27287675336503364</v>
      </c>
      <c r="T58">
        <f>(1-R58)*P58</f>
        <v>-4.3029926618110143E-2</v>
      </c>
      <c r="U58" s="2">
        <f>_xlfn.T.DIST.RT(E58*(G58-0.4),F58)</f>
        <v>0.9997021053021008</v>
      </c>
      <c r="V58">
        <f>U58*M58</f>
        <v>0.28378821740813698</v>
      </c>
      <c r="W58">
        <f>(1-U58)*P58</f>
        <v>-3.3091868185408663E-4</v>
      </c>
      <c r="X58" s="2">
        <f>_xlfn.T.DIST.RT(E58*(G58-0.8),F58)</f>
        <v>0.99999999981180487</v>
      </c>
      <c r="Y58">
        <f>X58*M58</f>
        <v>0.28387278155123141</v>
      </c>
      <c r="Z58">
        <f>(1-X58)*P58</f>
        <v>-2.0905804472505496E-10</v>
      </c>
      <c r="AB58">
        <f>C58*M58</f>
        <v>0.14193639080232745</v>
      </c>
      <c r="AC58">
        <f>D58*P58</f>
        <v>-0.55542895558023164</v>
      </c>
      <c r="AD58">
        <f>(C58+0.01)*M58</f>
        <v>0.144775118618374</v>
      </c>
      <c r="AE58">
        <f>(D58-0.01)*P58</f>
        <v>-0.54432037646862697</v>
      </c>
      <c r="AF58">
        <f>(C58+0.05)*M58</f>
        <v>0.1561300298825602</v>
      </c>
      <c r="AG58">
        <f>(D58-0.05)*P58</f>
        <v>-0.49988606002220848</v>
      </c>
      <c r="AH58">
        <f>(C58+0.1)*M58</f>
        <v>0.17032366896279294</v>
      </c>
      <c r="AI58">
        <f>(D58-0.1)*P58</f>
        <v>-0.44434316446418531</v>
      </c>
      <c r="AK58">
        <f t="shared" si="79"/>
        <v>0.2298468267469235</v>
      </c>
      <c r="AL58">
        <f t="shared" si="80"/>
        <v>0.28345729872628289</v>
      </c>
      <c r="AM58">
        <f t="shared" si="81"/>
        <v>0.28387278134217336</v>
      </c>
      <c r="AN58">
        <f t="shared" si="82"/>
        <v>-0.41349256477790419</v>
      </c>
      <c r="AO58">
        <f t="shared" si="83"/>
        <v>-0.39954525785025297</v>
      </c>
      <c r="AP58">
        <f t="shared" si="84"/>
        <v>-0.34375603013964828</v>
      </c>
      <c r="AQ58">
        <f t="shared" si="88"/>
        <v>-0.27401949550139237</v>
      </c>
    </row>
    <row r="59" spans="1:43" x14ac:dyDescent="0.3">
      <c r="A59">
        <v>80</v>
      </c>
      <c r="B59">
        <v>0.2</v>
      </c>
      <c r="C59">
        <v>0.2</v>
      </c>
      <c r="D59">
        <f t="shared" si="78"/>
        <v>0.8</v>
      </c>
      <c r="E59">
        <f t="shared" si="75"/>
        <v>8.9442719099991592</v>
      </c>
      <c r="F59">
        <f t="shared" si="76"/>
        <v>79</v>
      </c>
      <c r="G59">
        <f t="shared" si="85"/>
        <v>9.4607455925570433E-2</v>
      </c>
      <c r="H59">
        <f t="shared" si="77"/>
        <v>-0.10539254407442958</v>
      </c>
      <c r="I59" s="2">
        <f>_xlfn.T.DIST.RT(E59*H59,F59)</f>
        <v>0.82563553447006699</v>
      </c>
      <c r="J59">
        <f>1-I59</f>
        <v>0.17436446552993301</v>
      </c>
      <c r="L59">
        <f>I59/C59</f>
        <v>4.1281776723503345</v>
      </c>
      <c r="M59">
        <f t="shared" si="86"/>
        <v>0.61575838059125421</v>
      </c>
      <c r="O59">
        <f>J59/D59</f>
        <v>0.21795558191241626</v>
      </c>
      <c r="P59">
        <f t="shared" si="87"/>
        <v>-0.66163200408278089</v>
      </c>
      <c r="R59" s="4">
        <f>_xlfn.T.DIST.RT(E59*(G59-0.2),F59)</f>
        <v>0.82563553447006699</v>
      </c>
      <c r="S59">
        <f>R59*M59</f>
        <v>0.50839199966388304</v>
      </c>
      <c r="T59">
        <f>(1-R59)*P59</f>
        <v>-0.11536511076939254</v>
      </c>
      <c r="U59" s="2">
        <f>_xlfn.T.DIST.RT(E59*(G59-0.4),F59)</f>
        <v>0.99611322463080243</v>
      </c>
      <c r="V59">
        <f>U59*M59</f>
        <v>0.61336506608419517</v>
      </c>
      <c r="W59">
        <f>(1-U59)*P59</f>
        <v>-2.5716149769417791E-3</v>
      </c>
      <c r="X59" s="2">
        <f>_xlfn.T.DIST.RT(E59*(G59-0.8),F59)</f>
        <v>0.99999999244546456</v>
      </c>
      <c r="Y59">
        <f>X59*M59</f>
        <v>0.61575837593948568</v>
      </c>
      <c r="Z59">
        <f>(1-X59)*P59</f>
        <v>-4.9983224241773781E-9</v>
      </c>
      <c r="AB59">
        <f>C59*M59</f>
        <v>0.12315167611825084</v>
      </c>
      <c r="AC59">
        <f>D59*P59</f>
        <v>-0.52930560326622478</v>
      </c>
      <c r="AD59">
        <f>(C59+0.01)*M59</f>
        <v>0.12930925992416339</v>
      </c>
      <c r="AE59">
        <f>(D59-0.01)*P59</f>
        <v>-0.52268928322539687</v>
      </c>
      <c r="AF59">
        <f>(C59+0.05)*M59</f>
        <v>0.15393959514781355</v>
      </c>
      <c r="AG59">
        <f>(D59-0.05)*P59</f>
        <v>-0.49622400306208569</v>
      </c>
      <c r="AH59">
        <f>(C59+0.1)*M59</f>
        <v>0.18472751417737629</v>
      </c>
      <c r="AI59">
        <f>(D59-0.1)*P59</f>
        <v>-0.46314240285794667</v>
      </c>
      <c r="AK59">
        <f t="shared" si="79"/>
        <v>0.3930268888944905</v>
      </c>
      <c r="AL59">
        <f t="shared" si="80"/>
        <v>0.61079345110725336</v>
      </c>
      <c r="AM59">
        <f t="shared" si="81"/>
        <v>0.61575837094116326</v>
      </c>
      <c r="AN59">
        <f t="shared" si="82"/>
        <v>-0.40615392714797394</v>
      </c>
      <c r="AO59">
        <f t="shared" si="83"/>
        <v>-0.39338002330123345</v>
      </c>
      <c r="AP59">
        <f t="shared" si="84"/>
        <v>-0.34228440791427217</v>
      </c>
      <c r="AQ59">
        <f t="shared" si="88"/>
        <v>-0.2784148886805704</v>
      </c>
    </row>
    <row r="60" spans="1:43" x14ac:dyDescent="0.3">
      <c r="A60">
        <v>80</v>
      </c>
      <c r="B60">
        <v>0.2</v>
      </c>
      <c r="C60">
        <v>0.1</v>
      </c>
      <c r="D60">
        <f t="shared" si="78"/>
        <v>0.9</v>
      </c>
      <c r="E60">
        <f t="shared" si="75"/>
        <v>8.9442719099991592</v>
      </c>
      <c r="F60">
        <f t="shared" si="76"/>
        <v>79</v>
      </c>
      <c r="G60">
        <f t="shared" si="85"/>
        <v>0.1444902213841083</v>
      </c>
      <c r="H60">
        <f t="shared" si="77"/>
        <v>-5.5509778615891708E-2</v>
      </c>
      <c r="I60" s="2">
        <f>_xlfn.T.DIST.RT(E60*H60,F60)</f>
        <v>0.68953787476986084</v>
      </c>
      <c r="J60">
        <f>1-I60</f>
        <v>0.31046212523013916</v>
      </c>
      <c r="L60">
        <f>I60/C60</f>
        <v>6.8953787476986079</v>
      </c>
      <c r="M60">
        <f t="shared" si="86"/>
        <v>0.83855812598945767</v>
      </c>
      <c r="O60">
        <f>J60/D60</f>
        <v>0.34495791692237682</v>
      </c>
      <c r="P60">
        <f t="shared" si="87"/>
        <v>-0.46223388337067922</v>
      </c>
      <c r="R60" s="4">
        <f>_xlfn.T.DIST.RT(E60*(G60-0.2),F60)</f>
        <v>0.68953787476986084</v>
      </c>
      <c r="S60">
        <f>R60*M60</f>
        <v>0.57821758806576784</v>
      </c>
      <c r="T60">
        <f>(1-R60)*P60</f>
        <v>-0.14350611378464134</v>
      </c>
      <c r="U60" s="2">
        <f>_xlfn.T.DIST.RT(E60*(G60-0.4),F60)</f>
        <v>0.98751301086595211</v>
      </c>
      <c r="V60">
        <f>U60*M60</f>
        <v>0.82808705978195973</v>
      </c>
      <c r="W60">
        <f>(1-U60)*P60</f>
        <v>-5.77190947903843E-3</v>
      </c>
      <c r="X60" s="2">
        <f>_xlfn.T.DIST.RT(E60*(G60-0.8),F60)</f>
        <v>0.99999994975899653</v>
      </c>
      <c r="Y60">
        <f>X60*M60</f>
        <v>0.83855808385945596</v>
      </c>
      <c r="Z60">
        <f>(1-X60)*P60</f>
        <v>-2.3223094137740311E-8</v>
      </c>
      <c r="AB60">
        <f>C60*M60</f>
        <v>8.385581259894577E-2</v>
      </c>
      <c r="AC60">
        <f>D60*P60</f>
        <v>-0.41601049503361132</v>
      </c>
      <c r="AD60">
        <f>(C60+0.01)*M60</f>
        <v>9.2241393858840351E-2</v>
      </c>
      <c r="AE60">
        <f>(D60-0.01)*P60</f>
        <v>-0.41138815619990449</v>
      </c>
      <c r="AF60">
        <f>(C60+0.05)*M60</f>
        <v>0.12578371889841866</v>
      </c>
      <c r="AG60">
        <f>(D60-0.05)*P60</f>
        <v>-0.39289880086507734</v>
      </c>
      <c r="AH60">
        <f>(C60+0.1)*M60</f>
        <v>0.16771162519789154</v>
      </c>
      <c r="AI60">
        <f>(D60-0.1)*P60</f>
        <v>-0.36978710669654341</v>
      </c>
      <c r="AK60">
        <f t="shared" si="79"/>
        <v>0.4347114742811265</v>
      </c>
      <c r="AL60">
        <f t="shared" si="80"/>
        <v>0.82231515030292135</v>
      </c>
      <c r="AM60">
        <f t="shared" si="81"/>
        <v>0.83855806063636185</v>
      </c>
      <c r="AN60">
        <f t="shared" si="82"/>
        <v>-0.33215468243466556</v>
      </c>
      <c r="AO60">
        <f t="shared" si="83"/>
        <v>-0.31914676234106415</v>
      </c>
      <c r="AP60">
        <f t="shared" si="84"/>
        <v>-0.26711508196665867</v>
      </c>
      <c r="AQ60">
        <f t="shared" si="88"/>
        <v>-0.20207548149865187</v>
      </c>
    </row>
    <row r="61" spans="1:43" x14ac:dyDescent="0.3">
      <c r="A61">
        <v>80</v>
      </c>
      <c r="B61">
        <v>0.2</v>
      </c>
      <c r="C61">
        <v>8.240654E-2</v>
      </c>
      <c r="D61">
        <f t="shared" si="78"/>
        <v>0.91759345999999997</v>
      </c>
      <c r="E61">
        <f t="shared" si="75"/>
        <v>8.9442719099991592</v>
      </c>
      <c r="F61">
        <f t="shared" si="76"/>
        <v>79</v>
      </c>
      <c r="G61">
        <v>0.156755581874431</v>
      </c>
      <c r="H61">
        <f t="shared" si="77"/>
        <v>-4.3244418125569006E-2</v>
      </c>
      <c r="I61" s="2">
        <v>0.65002413297281703</v>
      </c>
      <c r="J61">
        <f>1-I61</f>
        <v>0.34997586702718297</v>
      </c>
      <c r="L61">
        <f>I61/C61</f>
        <v>7.8880163270150288</v>
      </c>
      <c r="M61">
        <f>LOG10(L61)</f>
        <v>0.8969678008587626</v>
      </c>
      <c r="O61">
        <f>J61/D61</f>
        <v>0.38140623520484007</v>
      </c>
      <c r="P61">
        <f>LOG10(O61)</f>
        <v>-0.4186122114134504</v>
      </c>
      <c r="R61" s="4">
        <f>_xlfn.T.DIST.RT(E61*(G61-0.2),F61)</f>
        <v>0.65002413297281625</v>
      </c>
      <c r="S61">
        <f>R61*M61</f>
        <v>0.58305071705775091</v>
      </c>
      <c r="T61">
        <f>(1-R61)*P61</f>
        <v>-0.14650417163758905</v>
      </c>
      <c r="U61" s="2">
        <f>_xlfn.T.DIST.RT(E61*(G61-0.4),F61)</f>
        <v>0.98371444115201778</v>
      </c>
      <c r="V61">
        <f>U61*M61</f>
        <v>0.88236017895313201</v>
      </c>
      <c r="W61">
        <f>(1-U61)*P61</f>
        <v>-6.8173338034577197E-3</v>
      </c>
      <c r="X61" s="2">
        <f>_xlfn.T.DIST.RT(E61*(G61-0.8),F61)</f>
        <v>0.99999992051165298</v>
      </c>
      <c r="Y61">
        <f>X61*M61</f>
        <v>0.89696772956027482</v>
      </c>
      <c r="Z61">
        <f>(1-X61)*P61</f>
        <v>-3.3274792725823027E-8</v>
      </c>
      <c r="AB61">
        <f>C61*M61</f>
        <v>7.3916012960179661E-2</v>
      </c>
      <c r="AC61">
        <f>D61*P61</f>
        <v>-0.38411582746911943</v>
      </c>
      <c r="AD61">
        <f>(C61+0.01)*M61</f>
        <v>8.2885690968767273E-2</v>
      </c>
      <c r="AE61">
        <f>(D61-0.01)*P61</f>
        <v>-0.37992970535498494</v>
      </c>
      <c r="AF61">
        <f>(C61+0.05)*M61</f>
        <v>0.1187644030031178</v>
      </c>
      <c r="AG61">
        <f>(D61-0.05)*P61</f>
        <v>-0.36318521689844691</v>
      </c>
      <c r="AH61">
        <f>(C61+0.1)*M61</f>
        <v>0.16361279304605592</v>
      </c>
      <c r="AI61">
        <f>(D61-0.1)*P61</f>
        <v>-0.34225460632777438</v>
      </c>
      <c r="AK61">
        <f t="shared" si="79"/>
        <v>0.43654654542016186</v>
      </c>
      <c r="AL61">
        <f t="shared" si="80"/>
        <v>0.87554284514967429</v>
      </c>
      <c r="AM61">
        <f t="shared" si="81"/>
        <v>0.89696769628548212</v>
      </c>
      <c r="AN61">
        <f t="shared" si="82"/>
        <v>-0.31019981450893974</v>
      </c>
      <c r="AO61">
        <f t="shared" si="83"/>
        <v>-0.29704401438621764</v>
      </c>
      <c r="AP61">
        <f t="shared" si="84"/>
        <v>-0.2444208138953291</v>
      </c>
      <c r="AQ61">
        <f t="shared" si="88"/>
        <v>-0.17864181328171846</v>
      </c>
    </row>
    <row r="62" spans="1:43" x14ac:dyDescent="0.3">
      <c r="A62">
        <v>80</v>
      </c>
      <c r="B62">
        <v>0.2</v>
      </c>
      <c r="C62">
        <v>0.05</v>
      </c>
      <c r="D62">
        <f t="shared" si="78"/>
        <v>0.95</v>
      </c>
      <c r="E62">
        <f t="shared" si="75"/>
        <v>8.9442719099991592</v>
      </c>
      <c r="F62">
        <f t="shared" si="76"/>
        <v>79</v>
      </c>
      <c r="G62">
        <f t="shared" ref="G62:G75" si="103">-_xlfn.T.INV(C62,F62)/E62</f>
        <v>0.18608238053182208</v>
      </c>
      <c r="H62">
        <f t="shared" si="77"/>
        <v>-1.3917619468177933E-2</v>
      </c>
      <c r="I62" s="2">
        <f>_xlfn.T.DIST.RT(E62*H62,F62)</f>
        <v>0.54937545628577333</v>
      </c>
      <c r="J62">
        <f>1-I62</f>
        <v>0.45062454371422667</v>
      </c>
      <c r="L62">
        <f>I62/C62</f>
        <v>10.987509125715466</v>
      </c>
      <c r="M62">
        <f t="shared" ref="M62:M75" si="104">LOG10(L62)</f>
        <v>1.0408992487868316</v>
      </c>
      <c r="O62">
        <f>J62/D62</f>
        <v>0.47434162496234389</v>
      </c>
      <c r="P62">
        <f t="shared" ref="P62:P75" si="105">LOG10(O62)</f>
        <v>-0.32390876297567661</v>
      </c>
      <c r="R62" s="4">
        <f>_xlfn.T.DIST.RT(E62*(G62-0.2),F62)</f>
        <v>0.54937545628577333</v>
      </c>
      <c r="S62">
        <f>R62*M62</f>
        <v>0.57184449974978435</v>
      </c>
      <c r="T62">
        <f>(1-R62)*P62</f>
        <v>-0.14596123852095386</v>
      </c>
      <c r="U62" s="2">
        <f>_xlfn.T.DIST.RT(E62*(G62-0.4),F62)</f>
        <v>0.9703361335465408</v>
      </c>
      <c r="V62">
        <f>U62*M62</f>
        <v>1.0100221524793129</v>
      </c>
      <c r="W62">
        <f>(1-U62)*P62</f>
        <v>-9.6083862880156409E-3</v>
      </c>
      <c r="X62" s="2">
        <f>_xlfn.T.DIST.RT(E62*(G62-0.8),F62)</f>
        <v>0.99999976499253895</v>
      </c>
      <c r="Y62">
        <f>X62*M62</f>
        <v>1.0408990041677419</v>
      </c>
      <c r="Z62">
        <f>(1-X62)*P62</f>
        <v>-7.6120975997748324E-8</v>
      </c>
      <c r="AB62">
        <f>C62*M62</f>
        <v>5.2044962439341584E-2</v>
      </c>
      <c r="AC62">
        <f>D62*P62</f>
        <v>-0.30771332482689279</v>
      </c>
      <c r="AD62">
        <f>(C62+0.01)*M62</f>
        <v>6.2453954927209898E-2</v>
      </c>
      <c r="AE62">
        <f>(D62-0.01)*P62</f>
        <v>-0.30447423719713601</v>
      </c>
      <c r="AF62">
        <f>(C62+0.05)*M62</f>
        <v>0.10408992487868317</v>
      </c>
      <c r="AG62">
        <f>(D62-0.05)*P62</f>
        <v>-0.29151788667810891</v>
      </c>
      <c r="AH62">
        <f>(C62+0.1)*M62</f>
        <v>0.15613488731802477</v>
      </c>
      <c r="AI62">
        <f>(D62-0.1)*P62</f>
        <v>-0.27532244852932514</v>
      </c>
      <c r="AK62">
        <f t="shared" si="79"/>
        <v>0.42588326122883047</v>
      </c>
      <c r="AL62">
        <f t="shared" si="80"/>
        <v>1.0004137661912973</v>
      </c>
      <c r="AM62">
        <f t="shared" si="81"/>
        <v>1.040898928046766</v>
      </c>
      <c r="AN62">
        <f t="shared" si="82"/>
        <v>-0.2556683623875512</v>
      </c>
      <c r="AO62">
        <f t="shared" si="83"/>
        <v>-0.24202028226992611</v>
      </c>
      <c r="AP62">
        <f t="shared" si="84"/>
        <v>-0.18742796179942572</v>
      </c>
      <c r="AQ62">
        <f t="shared" si="88"/>
        <v>-0.11918756121130036</v>
      </c>
    </row>
    <row r="63" spans="1:43" x14ac:dyDescent="0.3">
      <c r="A63">
        <v>80</v>
      </c>
      <c r="B63">
        <v>0.2</v>
      </c>
      <c r="C63">
        <v>0.02</v>
      </c>
      <c r="D63">
        <f t="shared" si="78"/>
        <v>0.98</v>
      </c>
      <c r="E63">
        <f t="shared" si="75"/>
        <v>8.9442719099991592</v>
      </c>
      <c r="F63">
        <f t="shared" si="76"/>
        <v>79</v>
      </c>
      <c r="G63">
        <f t="shared" si="103"/>
        <v>0.23346945954831927</v>
      </c>
      <c r="H63">
        <f t="shared" si="77"/>
        <v>3.3469459548319258E-2</v>
      </c>
      <c r="I63" s="2">
        <f>_xlfn.T.DIST.RT(E63*H63,F63)</f>
        <v>0.38272579192123235</v>
      </c>
      <c r="J63">
        <f>1-I63</f>
        <v>0.61727420807876765</v>
      </c>
      <c r="L63">
        <f>I63/C63</f>
        <v>19.136289596061616</v>
      </c>
      <c r="M63">
        <f t="shared" si="104"/>
        <v>1.2818577346860278</v>
      </c>
      <c r="O63">
        <f>J63/D63</f>
        <v>0.62987164089670167</v>
      </c>
      <c r="P63">
        <f t="shared" si="105"/>
        <v>-0.20074794472097995</v>
      </c>
      <c r="R63" s="4">
        <f>_xlfn.T.DIST.RT(E63*(G63-0.2),F63)</f>
        <v>0.38272579192123235</v>
      </c>
      <c r="S63">
        <f>R63*M63</f>
        <v>0.49060001663806696</v>
      </c>
      <c r="T63">
        <f>(1-R63)*P63</f>
        <v>-0.12391652860108313</v>
      </c>
      <c r="U63" s="2">
        <f>_xlfn.T.DIST.RT(E63*(G63-0.4),F63)</f>
        <v>0.92983058025273135</v>
      </c>
      <c r="V63">
        <f>U63*M63</f>
        <v>1.1919105212445611</v>
      </c>
      <c r="W63">
        <f>(1-U63)*P63</f>
        <v>-1.4086366796527925E-2</v>
      </c>
      <c r="X63" s="2">
        <f>_xlfn.T.DIST.RT(E63*(G63-0.8),F63)</f>
        <v>0.99999870310624472</v>
      </c>
      <c r="Y63">
        <f>X63*M63</f>
        <v>1.2818560722527366</v>
      </c>
      <c r="Z63">
        <f>(1-X63)*P63</f>
        <v>-2.6034875589312537E-7</v>
      </c>
      <c r="AB63">
        <f>C63*M63</f>
        <v>2.5637154693720555E-2</v>
      </c>
      <c r="AC63">
        <f>D63*P63</f>
        <v>-0.19673298582656035</v>
      </c>
      <c r="AD63">
        <f>(C63+0.01)*M63</f>
        <v>3.845573204058083E-2</v>
      </c>
      <c r="AE63">
        <f>(D63-0.01)*P63</f>
        <v>-0.19472550637935054</v>
      </c>
      <c r="AF63">
        <f>(C63+0.05)*M63</f>
        <v>8.9730041428021962E-2</v>
      </c>
      <c r="AG63">
        <f>(D63-0.05)*P63</f>
        <v>-0.18669558859051136</v>
      </c>
      <c r="AH63">
        <f>(C63+0.1)*M63</f>
        <v>0.15382292816232335</v>
      </c>
      <c r="AI63">
        <f>(D63-0.1)*P63</f>
        <v>-0.17665819135446237</v>
      </c>
      <c r="AK63">
        <f t="shared" si="79"/>
        <v>0.36668348803698381</v>
      </c>
      <c r="AL63">
        <f t="shared" si="80"/>
        <v>1.1778241544480332</v>
      </c>
      <c r="AM63">
        <f t="shared" si="81"/>
        <v>1.2818558119039807</v>
      </c>
      <c r="AN63">
        <f t="shared" si="82"/>
        <v>-0.1710958311328398</v>
      </c>
      <c r="AO63">
        <f t="shared" si="83"/>
        <v>-0.15626977433876971</v>
      </c>
      <c r="AP63">
        <f t="shared" si="84"/>
        <v>-9.6965547162489396E-2</v>
      </c>
      <c r="AQ63">
        <f t="shared" si="88"/>
        <v>-2.2835263192139021E-2</v>
      </c>
    </row>
    <row r="64" spans="1:43" x14ac:dyDescent="0.3">
      <c r="A64">
        <v>80</v>
      </c>
      <c r="B64">
        <v>0.2</v>
      </c>
      <c r="C64">
        <v>0.01</v>
      </c>
      <c r="D64">
        <f t="shared" si="78"/>
        <v>0.99</v>
      </c>
      <c r="E64">
        <f t="shared" si="75"/>
        <v>8.9442719099991592</v>
      </c>
      <c r="F64">
        <f t="shared" si="76"/>
        <v>79</v>
      </c>
      <c r="G64">
        <f t="shared" si="103"/>
        <v>0.26547511310366589</v>
      </c>
      <c r="H64">
        <f t="shared" si="77"/>
        <v>6.5475113103665883E-2</v>
      </c>
      <c r="I64" s="2">
        <f>_xlfn.T.DIST.RT(E64*H64,F64)</f>
        <v>0.27989767215356587</v>
      </c>
      <c r="J64">
        <f>1-I64</f>
        <v>0.72010232784643413</v>
      </c>
      <c r="L64">
        <f>I64/C64</f>
        <v>27.989767215356586</v>
      </c>
      <c r="M64">
        <f t="shared" si="104"/>
        <v>1.4469992865509602</v>
      </c>
      <c r="O64">
        <f>J64/D64</f>
        <v>0.72737608873377191</v>
      </c>
      <c r="P64">
        <f t="shared" si="105"/>
        <v>-0.13824097974771232</v>
      </c>
      <c r="R64" s="4">
        <f>_xlfn.T.DIST.RT(E64*(G64-0.2),F64)</f>
        <v>0.27989767215356587</v>
      </c>
      <c r="S64">
        <f>R64*M64</f>
        <v>0.40501173191348439</v>
      </c>
      <c r="T64">
        <f>(1-R64)*P64</f>
        <v>-9.9547651320099406E-2</v>
      </c>
      <c r="U64" s="2">
        <f>_xlfn.T.DIST.RT(E64*(G64-0.4),F64)</f>
        <v>0.88375907376923402</v>
      </c>
      <c r="V64">
        <f>U64*M64</f>
        <v>1.278798749227019</v>
      </c>
      <c r="W64">
        <f>(1-U64)*P64</f>
        <v>-1.6069259528922644E-2</v>
      </c>
      <c r="X64" s="2">
        <f>_xlfn.T.DIST.RT(E64*(G64-0.8),F64)</f>
        <v>0.99999602933329834</v>
      </c>
      <c r="Y64">
        <f>X64*M64</f>
        <v>1.4469935409990757</v>
      </c>
      <c r="Z64">
        <f>(1-X64)*P64</f>
        <v>-5.4890885508883754E-7</v>
      </c>
      <c r="AB64">
        <f>C64*M64</f>
        <v>1.4469992865509602E-2</v>
      </c>
      <c r="AC64">
        <f>D64*P64</f>
        <v>-0.13685856995023521</v>
      </c>
      <c r="AD64">
        <f>(C64+0.01)*M64</f>
        <v>2.8939985731019205E-2</v>
      </c>
      <c r="AE64">
        <f>(D64-0.01)*P64</f>
        <v>-0.13547616015275807</v>
      </c>
      <c r="AF64">
        <f>(C64+0.05)*M64</f>
        <v>8.6819957193057615E-2</v>
      </c>
      <c r="AG64">
        <f>(D64-0.05)*P64</f>
        <v>-0.12994652096284959</v>
      </c>
      <c r="AH64">
        <f>(C64+0.1)*M64</f>
        <v>0.15916992152060563</v>
      </c>
      <c r="AI64">
        <f>(D64-0.1)*P64</f>
        <v>-0.12303447197546397</v>
      </c>
      <c r="AK64">
        <f t="shared" si="79"/>
        <v>0.30546408059338498</v>
      </c>
      <c r="AL64">
        <f t="shared" si="80"/>
        <v>1.2627294896980963</v>
      </c>
      <c r="AM64">
        <f t="shared" si="81"/>
        <v>1.4469929920902207</v>
      </c>
      <c r="AN64">
        <f t="shared" si="82"/>
        <v>-0.12238857708472561</v>
      </c>
      <c r="AO64">
        <f t="shared" si="83"/>
        <v>-0.10653617442173886</v>
      </c>
      <c r="AP64">
        <f t="shared" si="84"/>
        <v>-4.3126563769791973E-2</v>
      </c>
      <c r="AQ64">
        <f t="shared" si="88"/>
        <v>3.6135449545141668E-2</v>
      </c>
    </row>
    <row r="65" spans="1:43" x14ac:dyDescent="0.3">
      <c r="A65">
        <v>80</v>
      </c>
      <c r="B65">
        <v>0.2</v>
      </c>
      <c r="C65">
        <v>5.0000000000000001E-3</v>
      </c>
      <c r="D65">
        <f t="shared" ref="D65" si="106">1-C65</f>
        <v>0.995</v>
      </c>
      <c r="E65">
        <f t="shared" ref="E65" si="107">SQRT(A65)</f>
        <v>8.9442719099991592</v>
      </c>
      <c r="F65">
        <f t="shared" ref="F65" si="108">A65-1</f>
        <v>79</v>
      </c>
      <c r="G65">
        <f t="shared" ref="G65" si="109">-_xlfn.T.INV(C65,F65)/E65</f>
        <v>0.29510558869553288</v>
      </c>
      <c r="H65">
        <f t="shared" ref="H65" si="110">G65-B65</f>
        <v>9.5105588695532872E-2</v>
      </c>
      <c r="I65" s="2">
        <f>_xlfn.T.DIST.RT(E65*H65,F65)</f>
        <v>0.19876730149623623</v>
      </c>
      <c r="J65">
        <f>1-I65</f>
        <v>0.80123269850376377</v>
      </c>
      <c r="L65">
        <f>I65/C65</f>
        <v>39.753460299247244</v>
      </c>
      <c r="M65">
        <f t="shared" ref="M65" si="111">LOG10(L65)</f>
        <v>1.5993749373563269</v>
      </c>
      <c r="O65">
        <f>J65/D65</f>
        <v>0.8052589934711194</v>
      </c>
      <c r="P65">
        <f t="shared" ref="P65" si="112">LOG10(O65)</f>
        <v>-9.4064416097753345E-2</v>
      </c>
      <c r="R65" s="4">
        <f>_xlfn.T.DIST.RT(E65*(G65-0.2),F65)</f>
        <v>0.19876730149623623</v>
      </c>
      <c r="S65">
        <f>R65*M65</f>
        <v>0.31790344037902896</v>
      </c>
      <c r="T65">
        <f>(1-R65)*P65</f>
        <v>-7.5367485943183793E-2</v>
      </c>
      <c r="U65" s="2">
        <f>_xlfn.T.DIST.RT(E65*(G65-0.4),F65)</f>
        <v>0.82450045113418846</v>
      </c>
      <c r="V65">
        <f>U65*M65</f>
        <v>1.318685357383006</v>
      </c>
      <c r="W65">
        <f>(1-U65)*P65</f>
        <v>-1.6508262589481692E-2</v>
      </c>
      <c r="X65" s="2">
        <f>_xlfn.T.DIST.RT(E65*(G65-0.8),F65)</f>
        <v>0.9999891228097928</v>
      </c>
      <c r="Y65">
        <f>X65*M65</f>
        <v>1.5993575406509206</v>
      </c>
      <c r="Z65">
        <f>(1-X65)*P65</f>
        <v>-1.0231565456248043E-6</v>
      </c>
      <c r="AB65">
        <f>C65*M65</f>
        <v>7.9968746867816343E-3</v>
      </c>
      <c r="AC65">
        <f>D65*P65</f>
        <v>-9.3594094017264581E-2</v>
      </c>
      <c r="AD65">
        <f>(C65+0.01)*M65</f>
        <v>2.3990624060344901E-2</v>
      </c>
      <c r="AE65">
        <f>(D65-0.01)*P65</f>
        <v>-9.265344985628704E-2</v>
      </c>
      <c r="AF65">
        <f>(C65+0.05)*M65</f>
        <v>8.7965621554597972E-2</v>
      </c>
      <c r="AG65">
        <f>(D65-0.05)*P65</f>
        <v>-8.8890873212376903E-2</v>
      </c>
      <c r="AH65">
        <f>(C65+0.1)*M65</f>
        <v>0.16793436842241433</v>
      </c>
      <c r="AI65">
        <f>(D65-0.1)*P65</f>
        <v>-8.4187652407489252E-2</v>
      </c>
      <c r="AK65">
        <f t="shared" ref="AK65" si="113">S65+T65</f>
        <v>0.24253595443584516</v>
      </c>
      <c r="AL65">
        <f t="shared" ref="AL65" si="114">V65+W65</f>
        <v>1.3021770947935243</v>
      </c>
      <c r="AM65">
        <f t="shared" ref="AM65" si="115">Y65+Z65</f>
        <v>1.5993565174943749</v>
      </c>
      <c r="AN65">
        <f t="shared" ref="AN65" si="116">AB65+AC65</f>
        <v>-8.5597219330482949E-2</v>
      </c>
      <c r="AO65">
        <f t="shared" ref="AO65" si="117">AD65+AE65</f>
        <v>-6.8662825795942142E-2</v>
      </c>
      <c r="AP65">
        <f t="shared" ref="AP65" si="118">AF65+AG65</f>
        <v>-9.2525165777893048E-4</v>
      </c>
      <c r="AQ65">
        <f t="shared" ref="AQ65" si="119">AH65+AI65</f>
        <v>8.3746716014925074E-2</v>
      </c>
    </row>
    <row r="66" spans="1:43" x14ac:dyDescent="0.3">
      <c r="A66">
        <v>80</v>
      </c>
      <c r="B66">
        <v>0.2</v>
      </c>
      <c r="C66">
        <v>2E-3</v>
      </c>
      <c r="D66">
        <f t="shared" si="78"/>
        <v>0.998</v>
      </c>
      <c r="E66">
        <f t="shared" si="75"/>
        <v>8.9442719099991592</v>
      </c>
      <c r="F66">
        <f t="shared" si="76"/>
        <v>79</v>
      </c>
      <c r="G66">
        <f t="shared" si="103"/>
        <v>0.33150462027219829</v>
      </c>
      <c r="H66">
        <f t="shared" si="77"/>
        <v>0.13150462027219828</v>
      </c>
      <c r="I66" s="2">
        <f>_xlfn.T.DIST.RT(E66*H66,F66)</f>
        <v>0.1215209892278304</v>
      </c>
      <c r="J66">
        <f>1-I66</f>
        <v>0.87847901077216961</v>
      </c>
      <c r="L66">
        <f>I66/C66</f>
        <v>60.760494613915199</v>
      </c>
      <c r="M66">
        <f t="shared" si="104"/>
        <v>1.7836213005301123</v>
      </c>
      <c r="O66">
        <f>J66/D66</f>
        <v>0.88023948975167299</v>
      </c>
      <c r="P66">
        <f t="shared" si="105"/>
        <v>-5.5399151796094045E-2</v>
      </c>
      <c r="R66" s="4">
        <f>_xlfn.T.DIST.RT(E66*(G66-0.2),F66)</f>
        <v>0.1215209892278304</v>
      </c>
      <c r="S66">
        <f>R66*M66</f>
        <v>0.21674742484824863</v>
      </c>
      <c r="T66">
        <f>(1-R66)*P66</f>
        <v>-4.8666992067449961E-2</v>
      </c>
      <c r="U66" s="2">
        <f>_xlfn.T.DIST.RT(E66*(G66-0.4),F66)</f>
        <v>0.72906344571950177</v>
      </c>
      <c r="V66">
        <f>U66*M66</f>
        <v>1.3003730912231826</v>
      </c>
      <c r="W66">
        <f>(1-U66)*P66</f>
        <v>-1.5009655297695995E-2</v>
      </c>
      <c r="X66" s="2">
        <f>_xlfn.T.DIST.RT(E66*(G66-0.8),F66)</f>
        <v>0.99996399855262685</v>
      </c>
      <c r="Y66">
        <f>X66*M66</f>
        <v>1.7835570875817275</v>
      </c>
      <c r="Z66">
        <f>(1-X66)*P66</f>
        <v>-1.9944496479040206E-6</v>
      </c>
      <c r="AB66">
        <f>C66*M66</f>
        <v>3.5672426010602246E-3</v>
      </c>
      <c r="AC66">
        <f>D66*P66</f>
        <v>-5.5288353492501857E-2</v>
      </c>
      <c r="AD66">
        <f>(C66+0.01)*M66</f>
        <v>2.1403455606361348E-2</v>
      </c>
      <c r="AE66">
        <f>(D66-0.01)*P66</f>
        <v>-5.4734361974540915E-2</v>
      </c>
      <c r="AF66">
        <f>(C66+0.05)*M66</f>
        <v>9.2748307627565849E-2</v>
      </c>
      <c r="AG66">
        <f>(D66-0.05)*P66</f>
        <v>-5.2518395902697156E-2</v>
      </c>
      <c r="AH66">
        <f>(C66+0.1)*M66</f>
        <v>0.18192937265407147</v>
      </c>
      <c r="AI66">
        <f>(D66-0.1)*P66</f>
        <v>-4.9748438312892454E-2</v>
      </c>
      <c r="AK66">
        <f t="shared" si="79"/>
        <v>0.16808043278079868</v>
      </c>
      <c r="AL66">
        <f t="shared" si="80"/>
        <v>1.2853634359254866</v>
      </c>
      <c r="AM66">
        <f t="shared" si="81"/>
        <v>1.7835550931320796</v>
      </c>
      <c r="AN66">
        <f t="shared" si="82"/>
        <v>-5.172111089144163E-2</v>
      </c>
      <c r="AO66">
        <f t="shared" si="83"/>
        <v>-3.3330906368179564E-2</v>
      </c>
      <c r="AP66">
        <f t="shared" si="84"/>
        <v>4.0229911724868693E-2</v>
      </c>
      <c r="AQ66">
        <f t="shared" si="88"/>
        <v>0.132180934341179</v>
      </c>
    </row>
    <row r="67" spans="1:43" x14ac:dyDescent="0.3">
      <c r="A67">
        <v>80</v>
      </c>
      <c r="B67">
        <v>0.2</v>
      </c>
      <c r="C67">
        <v>1E-3</v>
      </c>
      <c r="D67">
        <f t="shared" si="78"/>
        <v>0.999</v>
      </c>
      <c r="E67">
        <f t="shared" si="75"/>
        <v>8.9442719099991592</v>
      </c>
      <c r="F67">
        <f t="shared" si="76"/>
        <v>79</v>
      </c>
      <c r="G67">
        <f t="shared" si="103"/>
        <v>0.35739392409638454</v>
      </c>
      <c r="H67">
        <f t="shared" si="77"/>
        <v>0.15739392409638453</v>
      </c>
      <c r="I67" s="2">
        <f>_xlfn.T.DIST.RT(E67*H67,F67)</f>
        <v>8.1560417582076619E-2</v>
      </c>
      <c r="J67">
        <f>1-I67</f>
        <v>0.91843958241792334</v>
      </c>
      <c r="L67">
        <f>I67/C67</f>
        <v>81.560417582076624</v>
      </c>
      <c r="M67">
        <f t="shared" si="104"/>
        <v>1.9114794406608764</v>
      </c>
      <c r="O67">
        <f>J67/D67</f>
        <v>0.91935894135928264</v>
      </c>
      <c r="P67">
        <f t="shared" si="105"/>
        <v>-3.6514895777433207E-2</v>
      </c>
      <c r="R67" s="4">
        <f>_xlfn.T.DIST.RT(E67*(G67-0.2),F67)</f>
        <v>8.1560417582076619E-2</v>
      </c>
      <c r="S67">
        <f>R67*M67</f>
        <v>0.15590106137985532</v>
      </c>
      <c r="T67">
        <f>(1-R67)*P67</f>
        <v>-3.3536725629859744E-2</v>
      </c>
      <c r="U67" s="2">
        <f>_xlfn.T.DIST.RT(E67*(G67-0.4),F67)</f>
        <v>0.64791671828733521</v>
      </c>
      <c r="V67">
        <f>U67*M67</f>
        <v>1.2384794862667061</v>
      </c>
      <c r="W67">
        <f>(1-U67)*P67</f>
        <v>-1.285628433671461E-2</v>
      </c>
      <c r="X67" s="2">
        <f>_xlfn.T.DIST.RT(E67*(G67-0.8),F67)</f>
        <v>0.99991815646067739</v>
      </c>
      <c r="Y67">
        <f>X67*M67</f>
        <v>1.9113229984181104</v>
      </c>
      <c r="Z67">
        <f>(1-X67)*P67</f>
        <v>-2.9885083084214501E-6</v>
      </c>
      <c r="AB67">
        <f>C67*M67</f>
        <v>1.9114794406608765E-3</v>
      </c>
      <c r="AC67">
        <f>D67*P67</f>
        <v>-3.6478380881655774E-2</v>
      </c>
      <c r="AD67">
        <f>(C67+0.01)*M67</f>
        <v>2.1026273847269638E-2</v>
      </c>
      <c r="AE67">
        <f>(D67-0.01)*P67</f>
        <v>-3.6113231923881439E-2</v>
      </c>
      <c r="AF67">
        <f>(C67+0.05)*M67</f>
        <v>9.7485451473704701E-2</v>
      </c>
      <c r="AG67">
        <f>(D67-0.05)*P67</f>
        <v>-3.4652636092784114E-2</v>
      </c>
      <c r="AH67">
        <f>(C67+0.1)*M67</f>
        <v>0.19305942350674854</v>
      </c>
      <c r="AI67">
        <f>(D67-0.1)*P67</f>
        <v>-3.2826891303912455E-2</v>
      </c>
      <c r="AK67">
        <f t="shared" si="79"/>
        <v>0.12236433574999558</v>
      </c>
      <c r="AL67">
        <f t="shared" si="80"/>
        <v>1.2256232019299915</v>
      </c>
      <c r="AM67">
        <f t="shared" si="81"/>
        <v>1.911320009909802</v>
      </c>
      <c r="AN67">
        <f t="shared" si="82"/>
        <v>-3.4566901440994897E-2</v>
      </c>
      <c r="AO67">
        <f t="shared" si="83"/>
        <v>-1.5086958076611801E-2</v>
      </c>
      <c r="AP67">
        <f t="shared" si="84"/>
        <v>6.2832815380920587E-2</v>
      </c>
      <c r="AQ67">
        <f t="shared" si="88"/>
        <v>0.16023253220283609</v>
      </c>
    </row>
    <row r="68" spans="1:43" x14ac:dyDescent="0.3">
      <c r="A68">
        <v>80</v>
      </c>
      <c r="B68">
        <v>0.2</v>
      </c>
      <c r="C68">
        <v>1E-4</v>
      </c>
      <c r="D68">
        <f t="shared" si="78"/>
        <v>0.99990000000000001</v>
      </c>
      <c r="E68">
        <f t="shared" si="75"/>
        <v>8.9442719099991592</v>
      </c>
      <c r="F68">
        <f t="shared" si="76"/>
        <v>79</v>
      </c>
      <c r="G68">
        <f t="shared" si="103"/>
        <v>0.43615967689312535</v>
      </c>
      <c r="H68">
        <f t="shared" si="77"/>
        <v>0.23615967689312534</v>
      </c>
      <c r="I68" s="2">
        <f>_xlfn.T.DIST.RT(E68*H68,F68)</f>
        <v>1.8910955015420738E-2</v>
      </c>
      <c r="J68">
        <f>1-I68</f>
        <v>0.98108904498457927</v>
      </c>
      <c r="L68">
        <f>I68/C68</f>
        <v>189.10955015420737</v>
      </c>
      <c r="M68">
        <f t="shared" si="104"/>
        <v>2.2767134615501909</v>
      </c>
      <c r="O68">
        <f>J68/D68</f>
        <v>0.98118716370094938</v>
      </c>
      <c r="P68">
        <f t="shared" si="105"/>
        <v>-8.2481420497439034E-3</v>
      </c>
      <c r="R68" s="4">
        <f>_xlfn.T.DIST.RT(E68*(G68-0.2),F68)</f>
        <v>1.8910955015420738E-2</v>
      </c>
      <c r="S68">
        <f>R68*M68</f>
        <v>4.305482585437849E-2</v>
      </c>
      <c r="T68">
        <f>(1-R68)*P68</f>
        <v>-8.0921618064803968E-3</v>
      </c>
      <c r="U68" s="2">
        <f>_xlfn.T.DIST.RT(E68*(G68-0.4),F68)</f>
        <v>0.37361513705236638</v>
      </c>
      <c r="V68">
        <f>U68*M68</f>
        <v>0.85061461196604204</v>
      </c>
      <c r="W68">
        <f>(1-U68)*P68</f>
        <v>-5.1665113274014492E-3</v>
      </c>
      <c r="X68" s="2">
        <f>_xlfn.T.DIST.RT(E68*(G68-0.8),F68)</f>
        <v>0.99916283414932805</v>
      </c>
      <c r="Y68">
        <f>X68*M68</f>
        <v>2.2748074747884162</v>
      </c>
      <c r="Z68">
        <f>(1-X68)*P68</f>
        <v>-6.9050628555369391E-6</v>
      </c>
      <c r="AB68">
        <f>C68*M68</f>
        <v>2.276713461550191E-4</v>
      </c>
      <c r="AC68">
        <f>D68*P68</f>
        <v>-8.2473172355389292E-3</v>
      </c>
      <c r="AD68">
        <f>(C68+0.01)*M68</f>
        <v>2.2994805961656928E-2</v>
      </c>
      <c r="AE68">
        <f>(D68-0.01)*P68</f>
        <v>-8.1648358150414897E-3</v>
      </c>
      <c r="AF68">
        <f>(C68+0.05)*M68</f>
        <v>0.11406334442366457</v>
      </c>
      <c r="AG68">
        <f>(D68-0.05)*P68</f>
        <v>-7.8349101330517333E-3</v>
      </c>
      <c r="AH68">
        <f>(C68+0.1)*M68</f>
        <v>0.22789901750117414</v>
      </c>
      <c r="AI68">
        <f>(D68-0.1)*P68</f>
        <v>-7.4225030305645392E-3</v>
      </c>
      <c r="AK68">
        <f t="shared" si="79"/>
        <v>3.4962664047898093E-2</v>
      </c>
      <c r="AL68">
        <f t="shared" si="80"/>
        <v>0.84544810063864062</v>
      </c>
      <c r="AM68">
        <f t="shared" si="81"/>
        <v>2.2748005697255604</v>
      </c>
      <c r="AN68">
        <f t="shared" si="82"/>
        <v>-8.0196458893839109E-3</v>
      </c>
      <c r="AO68">
        <f t="shared" si="83"/>
        <v>1.4829970146615438E-2</v>
      </c>
      <c r="AP68">
        <f t="shared" si="84"/>
        <v>0.10622843429061284</v>
      </c>
      <c r="AQ68">
        <f t="shared" si="88"/>
        <v>0.22047651447060959</v>
      </c>
    </row>
    <row r="69" spans="1:43" x14ac:dyDescent="0.3">
      <c r="A69">
        <v>80</v>
      </c>
      <c r="B69">
        <v>0.2</v>
      </c>
      <c r="C69">
        <v>1.0000000000000001E-5</v>
      </c>
      <c r="D69">
        <f t="shared" si="78"/>
        <v>0.99999000000000005</v>
      </c>
      <c r="E69">
        <f t="shared" si="75"/>
        <v>8.9442719099991592</v>
      </c>
      <c r="F69">
        <f t="shared" si="76"/>
        <v>79</v>
      </c>
      <c r="G69">
        <f t="shared" si="103"/>
        <v>0.50739951148686702</v>
      </c>
      <c r="H69">
        <f t="shared" si="77"/>
        <v>0.30739951148686701</v>
      </c>
      <c r="I69" s="2">
        <f>_xlfn.T.DIST.RT(E69*H69,F69)</f>
        <v>3.6979638051966813E-3</v>
      </c>
      <c r="J69">
        <f>1-I69</f>
        <v>0.99630203619480329</v>
      </c>
      <c r="L69">
        <f>I69/C69</f>
        <v>369.79638051966811</v>
      </c>
      <c r="M69">
        <f t="shared" si="104"/>
        <v>2.56796265607132</v>
      </c>
      <c r="O69">
        <f>J69/D69</f>
        <v>0.99631199931479641</v>
      </c>
      <c r="P69">
        <f t="shared" si="105"/>
        <v>-1.6046391240669324E-3</v>
      </c>
      <c r="R69" s="4">
        <f>_xlfn.T.DIST.RT(E69*(G69-0.2),F69)</f>
        <v>3.6979638051966813E-3</v>
      </c>
      <c r="S69">
        <f>R69*M69</f>
        <v>9.4962329552484744E-3</v>
      </c>
      <c r="T69">
        <f>(1-R69)*P69</f>
        <v>-1.5987052266657304E-3</v>
      </c>
      <c r="U69" s="2">
        <f>_xlfn.T.DIST.RT(E69*(G69-0.4),F69)</f>
        <v>0.16983951709416961</v>
      </c>
      <c r="V69">
        <f>U69*M69</f>
        <v>0.43614153742301415</v>
      </c>
      <c r="W69">
        <f>(1-U69)*P69</f>
        <v>-1.3321079901249934E-3</v>
      </c>
      <c r="X69" s="2">
        <f>_xlfn.T.DIST.RT(E69*(G69-0.8),F69)</f>
        <v>0.994688327262647</v>
      </c>
      <c r="Y69">
        <f>X69*M69</f>
        <v>2.5543224788405254</v>
      </c>
      <c r="Z69">
        <f>(1-X69)*P69</f>
        <v>-8.5233178885963255E-6</v>
      </c>
      <c r="AB69">
        <f>C69*M69</f>
        <v>2.5679626560713204E-5</v>
      </c>
      <c r="AC69">
        <f>D69*P69</f>
        <v>-1.604623077675692E-3</v>
      </c>
      <c r="AD69">
        <f>(C69+0.01)*M69</f>
        <v>2.5705306187273912E-2</v>
      </c>
      <c r="AE69">
        <f>(D69-0.01)*P69</f>
        <v>-1.5885766864350225E-3</v>
      </c>
      <c r="AF69">
        <f>(C69+0.05)*M69</f>
        <v>0.12842381243012674</v>
      </c>
      <c r="AG69">
        <f>(D69-0.05)*P69</f>
        <v>-1.5243911214723451E-3</v>
      </c>
      <c r="AH69">
        <f>(C69+0.1)*M69</f>
        <v>0.25682194523369273</v>
      </c>
      <c r="AI69">
        <f>(D69-0.1)*P69</f>
        <v>-1.4441591652689986E-3</v>
      </c>
      <c r="AK69">
        <f t="shared" si="79"/>
        <v>7.8975277285827442E-3</v>
      </c>
      <c r="AL69">
        <f t="shared" si="80"/>
        <v>0.43480942943288914</v>
      </c>
      <c r="AM69">
        <f t="shared" si="81"/>
        <v>2.5543139555226366</v>
      </c>
      <c r="AN69">
        <f t="shared" si="82"/>
        <v>-1.5789434511149787E-3</v>
      </c>
      <c r="AO69">
        <f t="shared" si="83"/>
        <v>2.4116729500838891E-2</v>
      </c>
      <c r="AP69">
        <f t="shared" si="84"/>
        <v>0.12689942130865439</v>
      </c>
      <c r="AQ69">
        <f t="shared" si="88"/>
        <v>0.25537778606842371</v>
      </c>
    </row>
    <row r="70" spans="1:43" x14ac:dyDescent="0.3">
      <c r="A70">
        <v>80</v>
      </c>
      <c r="B70">
        <v>0.2</v>
      </c>
      <c r="C70">
        <v>9.9999999999999995E-7</v>
      </c>
      <c r="D70">
        <f t="shared" si="78"/>
        <v>0.99999899999999997</v>
      </c>
      <c r="E70">
        <f t="shared" si="75"/>
        <v>8.9442719099991592</v>
      </c>
      <c r="F70">
        <f t="shared" si="76"/>
        <v>79</v>
      </c>
      <c r="G70">
        <f t="shared" si="103"/>
        <v>0.57384879317342374</v>
      </c>
      <c r="H70">
        <f t="shared" si="77"/>
        <v>0.37384879317342373</v>
      </c>
      <c r="I70" s="2">
        <f>_xlfn.T.DIST.RT(E70*H70,F70)</f>
        <v>6.3278274184156704E-4</v>
      </c>
      <c r="J70">
        <f>1-I70</f>
        <v>0.99936721725815847</v>
      </c>
      <c r="L70">
        <f>I70/C70</f>
        <v>632.78274184156703</v>
      </c>
      <c r="M70">
        <f t="shared" si="104"/>
        <v>2.8012546259491917</v>
      </c>
      <c r="O70">
        <f>J70/D70</f>
        <v>0.99936821662637509</v>
      </c>
      <c r="P70">
        <f t="shared" si="105"/>
        <v>-2.7446674381853618E-4</v>
      </c>
      <c r="R70" s="4">
        <f>_xlfn.T.DIST.RT(E70*(G70-0.2),F70)</f>
        <v>6.3278274184156704E-4</v>
      </c>
      <c r="S70">
        <f>R70*M70</f>
        <v>1.7725855828045029E-3</v>
      </c>
      <c r="T70">
        <f>(1-R70)*P70</f>
        <v>-2.7429306599983835E-4</v>
      </c>
      <c r="U70" s="2">
        <f>_xlfn.T.DIST.RT(E70*(G70-0.4),F70)</f>
        <v>6.1977508662955864E-2</v>
      </c>
      <c r="V70">
        <f>U70*M70</f>
        <v>0.17361478284691123</v>
      </c>
      <c r="W70">
        <f>(1-U70)*P70</f>
        <v>-2.574559788258296E-4</v>
      </c>
      <c r="X70" s="2">
        <f>_xlfn.T.DIST.RT(E70*(G70-0.8),F70)</f>
        <v>0.97675921324693671</v>
      </c>
      <c r="Y70">
        <f>X70*M70</f>
        <v>2.7361512645464745</v>
      </c>
      <c r="Z70">
        <f>(1-X70)*P70</f>
        <v>-6.3788230638942518E-6</v>
      </c>
      <c r="AB70">
        <f>C70*M70</f>
        <v>2.8012546259491917E-6</v>
      </c>
      <c r="AC70">
        <f>D70*P70</f>
        <v>-2.7446646935179236E-4</v>
      </c>
      <c r="AD70">
        <f>(C70+0.01)*M70</f>
        <v>2.8015347514117866E-2</v>
      </c>
      <c r="AE70">
        <f>(D70-0.01)*P70</f>
        <v>-2.7172180191360697E-4</v>
      </c>
      <c r="AF70">
        <f>(C70+0.05)*M70</f>
        <v>0.14006553255208554</v>
      </c>
      <c r="AG70">
        <f>(D70-0.05)*P70</f>
        <v>-2.6074313216086555E-4</v>
      </c>
      <c r="AH70">
        <f>(C70+0.1)*M70</f>
        <v>0.28012826384954514</v>
      </c>
      <c r="AI70">
        <f>(D70-0.1)*P70</f>
        <v>-2.4701979496993874E-4</v>
      </c>
      <c r="AK70">
        <f t="shared" si="79"/>
        <v>1.4982925168046646E-3</v>
      </c>
      <c r="AL70">
        <f t="shared" si="80"/>
        <v>0.17335732686808542</v>
      </c>
      <c r="AM70">
        <f t="shared" si="81"/>
        <v>2.7361448857234105</v>
      </c>
      <c r="AN70">
        <f t="shared" si="82"/>
        <v>-2.7166521472584315E-4</v>
      </c>
      <c r="AO70">
        <f t="shared" si="83"/>
        <v>2.7743625712204258E-2</v>
      </c>
      <c r="AP70">
        <f t="shared" si="84"/>
        <v>0.13980478941992466</v>
      </c>
      <c r="AQ70">
        <f t="shared" si="88"/>
        <v>0.27988124405457521</v>
      </c>
    </row>
    <row r="71" spans="1:43" x14ac:dyDescent="0.3">
      <c r="A71">
        <v>80</v>
      </c>
      <c r="B71">
        <v>0.2</v>
      </c>
      <c r="C71">
        <v>9.9999999999999995E-8</v>
      </c>
      <c r="D71">
        <f t="shared" si="78"/>
        <v>0.99999990000000005</v>
      </c>
      <c r="E71">
        <f t="shared" si="75"/>
        <v>8.9442719099991592</v>
      </c>
      <c r="F71">
        <f t="shared" si="76"/>
        <v>79</v>
      </c>
      <c r="G71">
        <f t="shared" si="103"/>
        <v>0.63707595622123037</v>
      </c>
      <c r="H71">
        <f t="shared" si="77"/>
        <v>0.43707595622123036</v>
      </c>
      <c r="I71" s="2">
        <f>_xlfn.T.DIST.RT(E71*H71,F71)</f>
        <v>9.7202298344361635E-5</v>
      </c>
      <c r="J71">
        <f>1-I71</f>
        <v>0.99990279770165569</v>
      </c>
      <c r="L71">
        <f>I71/C71</f>
        <v>972.02298344361634</v>
      </c>
      <c r="M71">
        <f t="shared" si="104"/>
        <v>2.9876765339229099</v>
      </c>
      <c r="O71">
        <f>J71/D71</f>
        <v>0.9999028976919454</v>
      </c>
      <c r="P71">
        <f t="shared" si="105"/>
        <v>-4.2173044151282305E-5</v>
      </c>
      <c r="R71" s="4">
        <f>_xlfn.T.DIST.RT(E71*(G71-0.2),F71)</f>
        <v>9.7202298344361635E-5</v>
      </c>
      <c r="S71">
        <f>R71*M71</f>
        <v>2.9040902580682298E-4</v>
      </c>
      <c r="T71">
        <f>(1-R71)*P71</f>
        <v>-4.2168944834462622E-5</v>
      </c>
      <c r="U71" s="2">
        <f>_xlfn.T.DIST.RT(E71*(G71-0.4),F71)</f>
        <v>1.8551951624133485E-2</v>
      </c>
      <c r="V71">
        <f>U71*M71</f>
        <v>5.5427230525896626E-2</v>
      </c>
      <c r="W71">
        <f>(1-U71)*P71</f>
        <v>-4.139065187634527E-5</v>
      </c>
      <c r="X71" s="2">
        <f>_xlfn.T.DIST.RT(E71*(G71-0.8),F71)</f>
        <v>0.92549269922664945</v>
      </c>
      <c r="Y71">
        <f>X71*M71</f>
        <v>2.7650728197964343</v>
      </c>
      <c r="Z71">
        <f>(1-X71)*P71</f>
        <v>-3.1421996851073828E-6</v>
      </c>
      <c r="AB71">
        <f>C71*M71</f>
        <v>2.9876765339229095E-7</v>
      </c>
      <c r="AC71">
        <f>D71*P71</f>
        <v>-4.2173039933977895E-5</v>
      </c>
      <c r="AD71">
        <f>(C71+0.01)*M71</f>
        <v>2.9877064106882491E-2</v>
      </c>
      <c r="AE71">
        <f>(D71-0.01)*P71</f>
        <v>-4.175130949246507E-5</v>
      </c>
      <c r="AF71">
        <f>(C71+0.05)*M71</f>
        <v>0.14938412546379889</v>
      </c>
      <c r="AG71">
        <f>(D71-0.05)*P71</f>
        <v>-4.0064387726413775E-5</v>
      </c>
      <c r="AH71">
        <f>(C71+0.1)*M71</f>
        <v>0.29876795215994439</v>
      </c>
      <c r="AI71">
        <f>(D71-0.1)*P71</f>
        <v>-3.7955735518849661E-5</v>
      </c>
      <c r="AK71">
        <f t="shared" si="79"/>
        <v>2.4824008097236038E-4</v>
      </c>
      <c r="AL71">
        <f t="shared" si="80"/>
        <v>5.5385839874020279E-2</v>
      </c>
      <c r="AM71">
        <f t="shared" si="81"/>
        <v>2.7650696775967494</v>
      </c>
      <c r="AN71">
        <f t="shared" si="82"/>
        <v>-4.1874272280585603E-5</v>
      </c>
      <c r="AO71">
        <f t="shared" si="83"/>
        <v>2.9835312797390025E-2</v>
      </c>
      <c r="AP71">
        <f t="shared" si="84"/>
        <v>0.14934406107607248</v>
      </c>
      <c r="AQ71">
        <f t="shared" si="88"/>
        <v>0.29872999642442555</v>
      </c>
    </row>
    <row r="72" spans="1:43" x14ac:dyDescent="0.3">
      <c r="A72">
        <v>160</v>
      </c>
      <c r="B72">
        <v>0.2</v>
      </c>
      <c r="C72">
        <v>0.5</v>
      </c>
      <c r="D72">
        <f t="shared" si="78"/>
        <v>0.5</v>
      </c>
      <c r="E72">
        <f t="shared" si="75"/>
        <v>12.649110640673518</v>
      </c>
      <c r="F72">
        <f t="shared" si="76"/>
        <v>159</v>
      </c>
      <c r="G72">
        <f t="shared" si="103"/>
        <v>0</v>
      </c>
      <c r="H72">
        <f t="shared" si="77"/>
        <v>-0.2</v>
      </c>
      <c r="I72" s="2">
        <f>_xlfn.T.DIST.RT(E72*H72,F72)</f>
        <v>0.99380754043810671</v>
      </c>
      <c r="J72">
        <f>1-I72</f>
        <v>6.1924595618932932E-3</v>
      </c>
      <c r="L72">
        <f>I72/C72</f>
        <v>1.9876150808762134</v>
      </c>
      <c r="M72">
        <f t="shared" si="104"/>
        <v>0.29833228326190059</v>
      </c>
      <c r="O72">
        <f>J72/D72</f>
        <v>1.2384919123786586E-2</v>
      </c>
      <c r="P72">
        <f t="shared" si="105"/>
        <v>-1.9071068251062335</v>
      </c>
      <c r="R72" s="4">
        <f>_xlfn.T.DIST.RT(E72*(G72-0.2),F72)</f>
        <v>0.99380754043810671</v>
      </c>
      <c r="S72">
        <f>R72*M72</f>
        <v>0.29648487266179396</v>
      </c>
      <c r="T72">
        <f>(1-R72)*P72</f>
        <v>-1.1809681894681056E-2</v>
      </c>
      <c r="U72" s="2">
        <f>_xlfn.T.DIST.RT(E72*(G72-0.4),F72)</f>
        <v>0.99999942617633131</v>
      </c>
      <c r="V72">
        <f>U72*M72</f>
        <v>0.29833211207177529</v>
      </c>
      <c r="W72">
        <f>(1-U72)*P72</f>
        <v>-1.0943430349710014E-6</v>
      </c>
      <c r="X72" s="2">
        <f>_xlfn.T.DIST.RT(E72*(G72-0.8),F72)</f>
        <v>1</v>
      </c>
      <c r="Y72">
        <f>X72*M72</f>
        <v>0.29833228326190059</v>
      </c>
      <c r="Z72">
        <f>(1-X72)*P72</f>
        <v>0</v>
      </c>
      <c r="AB72">
        <f>C72*M72</f>
        <v>0.14916614163095029</v>
      </c>
      <c r="AC72">
        <f>D72*P72</f>
        <v>-0.95355341255311676</v>
      </c>
      <c r="AD72">
        <f>(C72+0.01)*M72</f>
        <v>0.15214946446356931</v>
      </c>
      <c r="AE72">
        <f>(D72-0.01)*P72</f>
        <v>-0.93448234430205446</v>
      </c>
      <c r="AF72">
        <f>(C72+0.05)*M72</f>
        <v>0.16408275579404533</v>
      </c>
      <c r="AG72">
        <f>(D72-0.05)*P72</f>
        <v>-0.85819807129780512</v>
      </c>
      <c r="AH72">
        <f>(C72+0.1)*M72</f>
        <v>0.17899936995714036</v>
      </c>
      <c r="AI72">
        <f>(D72-0.1)*P72</f>
        <v>-0.76284273004249348</v>
      </c>
      <c r="AK72">
        <f t="shared" si="79"/>
        <v>0.2846751907671129</v>
      </c>
      <c r="AL72">
        <f t="shared" si="80"/>
        <v>0.29833101772874032</v>
      </c>
      <c r="AM72">
        <f t="shared" si="81"/>
        <v>0.29833228326190059</v>
      </c>
      <c r="AN72">
        <f t="shared" si="82"/>
        <v>-0.80438727092216644</v>
      </c>
      <c r="AO72">
        <f t="shared" si="83"/>
        <v>-0.78233287983848521</v>
      </c>
      <c r="AP72">
        <f t="shared" si="84"/>
        <v>-0.69411531550375982</v>
      </c>
      <c r="AQ72">
        <f t="shared" si="88"/>
        <v>-0.58384336008535309</v>
      </c>
    </row>
    <row r="73" spans="1:43" x14ac:dyDescent="0.3">
      <c r="A73">
        <v>160</v>
      </c>
      <c r="B73">
        <v>0.2</v>
      </c>
      <c r="C73">
        <v>0.2</v>
      </c>
      <c r="D73">
        <f t="shared" si="78"/>
        <v>0.8</v>
      </c>
      <c r="E73">
        <f t="shared" si="75"/>
        <v>12.649110640673518</v>
      </c>
      <c r="F73">
        <f t="shared" si="76"/>
        <v>159</v>
      </c>
      <c r="G73">
        <f t="shared" si="103"/>
        <v>6.6715181549386562E-2</v>
      </c>
      <c r="H73">
        <f t="shared" si="77"/>
        <v>-0.13328481845061346</v>
      </c>
      <c r="I73" s="2">
        <f>_xlfn.T.DIST.RT(E73*H73,F73)</f>
        <v>0.95311510561085711</v>
      </c>
      <c r="J73">
        <f>1-I73</f>
        <v>4.6884894389142895E-2</v>
      </c>
      <c r="L73">
        <f>I73/C73</f>
        <v>4.7655755280542849</v>
      </c>
      <c r="M73">
        <f t="shared" si="104"/>
        <v>0.67811535692915625</v>
      </c>
      <c r="O73">
        <f>J73/D73</f>
        <v>5.8606117986428619E-2</v>
      </c>
      <c r="P73">
        <f t="shared" si="105"/>
        <v>-1.2320570449195061</v>
      </c>
      <c r="R73" s="4">
        <f>_xlfn.T.DIST.RT(E73*(G73-0.2),F73)</f>
        <v>0.95311510561085711</v>
      </c>
      <c r="S73">
        <f>R73*M73</f>
        <v>0.64632199003587687</v>
      </c>
      <c r="T73">
        <f>(1-R73)*P73</f>
        <v>-5.7764864432450526E-2</v>
      </c>
      <c r="U73" s="2">
        <f>_xlfn.T.DIST.RT(E73*(G73-0.4),F73)</f>
        <v>0.99997918083731463</v>
      </c>
      <c r="V73">
        <f>U73*M73</f>
        <v>0.67810123913522091</v>
      </c>
      <c r="W73">
        <f>(1-U73)*P73</f>
        <v>-2.5650396055835941E-5</v>
      </c>
      <c r="X73" s="2">
        <f>_xlfn.T.DIST.RT(E73*(G73-0.8),F73)</f>
        <v>0.99999999999999989</v>
      </c>
      <c r="Y73">
        <f>X73*M73</f>
        <v>0.67811535692915614</v>
      </c>
      <c r="Z73">
        <f>(1-X73)*P73</f>
        <v>-1.3678580989212664E-16</v>
      </c>
      <c r="AB73">
        <f>C73*M73</f>
        <v>0.13562307138583127</v>
      </c>
      <c r="AC73">
        <f>D73*P73</f>
        <v>-0.98564563593560495</v>
      </c>
      <c r="AD73">
        <f>(C73+0.01)*M73</f>
        <v>0.14240422495512284</v>
      </c>
      <c r="AE73">
        <f>(D73-0.01)*P73</f>
        <v>-0.97332506548640985</v>
      </c>
      <c r="AF73">
        <f>(C73+0.05)*M73</f>
        <v>0.16952883923228906</v>
      </c>
      <c r="AG73">
        <f>(D73-0.05)*P73</f>
        <v>-0.92404278368962955</v>
      </c>
      <c r="AH73">
        <f>(C73+0.1)*M73</f>
        <v>0.20343460707874692</v>
      </c>
      <c r="AI73">
        <f>(D73-0.1)*P73</f>
        <v>-0.86243993144365438</v>
      </c>
      <c r="AK73">
        <f t="shared" si="79"/>
        <v>0.58855712560342632</v>
      </c>
      <c r="AL73">
        <f t="shared" si="80"/>
        <v>0.67807558873916507</v>
      </c>
      <c r="AM73">
        <f t="shared" si="81"/>
        <v>0.67811535692915603</v>
      </c>
      <c r="AN73">
        <f t="shared" si="82"/>
        <v>-0.85002256454977365</v>
      </c>
      <c r="AO73">
        <f t="shared" si="83"/>
        <v>-0.83092084053128701</v>
      </c>
      <c r="AP73">
        <f t="shared" si="84"/>
        <v>-0.75451394445734055</v>
      </c>
      <c r="AQ73">
        <f t="shared" si="88"/>
        <v>-0.65900532436490744</v>
      </c>
    </row>
    <row r="74" spans="1:43" x14ac:dyDescent="0.3">
      <c r="A74">
        <v>160</v>
      </c>
      <c r="B74">
        <v>0.2</v>
      </c>
      <c r="C74">
        <v>0.1</v>
      </c>
      <c r="D74">
        <f t="shared" si="78"/>
        <v>0.9</v>
      </c>
      <c r="E74">
        <f t="shared" ref="E74:E103" si="120">SQRT(A74)</f>
        <v>12.649110640673518</v>
      </c>
      <c r="F74">
        <f t="shared" ref="F74:F103" si="121">A74-1</f>
        <v>159</v>
      </c>
      <c r="G74">
        <f t="shared" si="103"/>
        <v>0.10173827084004637</v>
      </c>
      <c r="H74">
        <f t="shared" ref="H74:H103" si="122">G74-B74</f>
        <v>-9.826172915995364E-2</v>
      </c>
      <c r="I74" s="2">
        <f>_xlfn.T.DIST.RT(E74*H74,F74)</f>
        <v>0.89213710059806084</v>
      </c>
      <c r="J74">
        <f>1-I74</f>
        <v>0.10786289940193916</v>
      </c>
      <c r="L74">
        <f>I74/C74</f>
        <v>8.9213710059806086</v>
      </c>
      <c r="M74">
        <f t="shared" si="104"/>
        <v>0.95043160040511454</v>
      </c>
      <c r="O74">
        <f>J74/D74</f>
        <v>0.11984766600215462</v>
      </c>
      <c r="P74">
        <f t="shared" si="105"/>
        <v>-0.92137041930454644</v>
      </c>
      <c r="R74" s="4">
        <f>_xlfn.T.DIST.RT(E74*(G74-0.2),F74)</f>
        <v>0.89213710059806084</v>
      </c>
      <c r="S74">
        <f>R74*M74</f>
        <v>0.84791529230219365</v>
      </c>
      <c r="T74">
        <f>(1-R74)*P74</f>
        <v>-9.9381684849368795E-2</v>
      </c>
      <c r="U74" s="2">
        <f>_xlfn.T.DIST.RT(E74*(G74-0.4),F74)</f>
        <v>0.99988628262871804</v>
      </c>
      <c r="V74">
        <f>U74*M74</f>
        <v>0.95032351982193319</v>
      </c>
      <c r="W74">
        <f>(1-U74)*P74</f>
        <v>-1.0477582206027285E-4</v>
      </c>
      <c r="X74" s="2">
        <f>_xlfn.T.DIST.RT(E74*(G74-0.8),F74)</f>
        <v>0.99999999999999911</v>
      </c>
      <c r="Y74">
        <f>X74*M74</f>
        <v>0.95043160040511365</v>
      </c>
      <c r="Z74">
        <f>(1-X74)*P74</f>
        <v>-8.1834132297635382E-16</v>
      </c>
      <c r="AB74">
        <f>C74*M74</f>
        <v>9.5043160040511457E-2</v>
      </c>
      <c r="AC74">
        <f>D74*P74</f>
        <v>-0.82923337737409186</v>
      </c>
      <c r="AD74">
        <f>(C74+0.01)*M74</f>
        <v>0.1045474760445626</v>
      </c>
      <c r="AE74">
        <f>(D74-0.01)*P74</f>
        <v>-0.82001967318104629</v>
      </c>
      <c r="AF74">
        <f>(C74+0.05)*M74</f>
        <v>0.14256474006076719</v>
      </c>
      <c r="AG74">
        <f>(D74-0.05)*P74</f>
        <v>-0.78316485640886446</v>
      </c>
      <c r="AH74">
        <f>(C74+0.1)*M74</f>
        <v>0.19008632008102291</v>
      </c>
      <c r="AI74">
        <f>(D74-0.1)*P74</f>
        <v>-0.73709633544363717</v>
      </c>
      <c r="AK74">
        <f t="shared" si="79"/>
        <v>0.74853360745282482</v>
      </c>
      <c r="AL74">
        <f t="shared" si="80"/>
        <v>0.95021874399987294</v>
      </c>
      <c r="AM74">
        <f t="shared" si="81"/>
        <v>0.95043160040511288</v>
      </c>
      <c r="AN74">
        <f t="shared" si="82"/>
        <v>-0.73419021733358036</v>
      </c>
      <c r="AO74">
        <f t="shared" si="83"/>
        <v>-0.71547219713648369</v>
      </c>
      <c r="AP74">
        <f t="shared" si="84"/>
        <v>-0.64060011634809721</v>
      </c>
      <c r="AQ74">
        <f t="shared" si="88"/>
        <v>-0.54701001536261429</v>
      </c>
    </row>
    <row r="75" spans="1:43" x14ac:dyDescent="0.3">
      <c r="A75">
        <v>160</v>
      </c>
      <c r="B75">
        <v>0.2</v>
      </c>
      <c r="C75">
        <v>0.05</v>
      </c>
      <c r="D75">
        <f t="shared" si="78"/>
        <v>0.95</v>
      </c>
      <c r="E75">
        <f t="shared" si="120"/>
        <v>12.649110640673518</v>
      </c>
      <c r="F75">
        <f t="shared" si="121"/>
        <v>159</v>
      </c>
      <c r="G75">
        <f t="shared" si="103"/>
        <v>0.13079919605660226</v>
      </c>
      <c r="H75">
        <f t="shared" si="122"/>
        <v>-6.9200803943397754E-2</v>
      </c>
      <c r="I75" s="2">
        <f>_xlfn.T.DIST.RT(E75*H75,F75)</f>
        <v>0.80864225270237533</v>
      </c>
      <c r="J75">
        <f>1-I75</f>
        <v>0.19135774729762467</v>
      </c>
      <c r="L75">
        <f>I75/C75</f>
        <v>16.172845054047507</v>
      </c>
      <c r="M75">
        <f t="shared" si="104"/>
        <v>1.2087864257559588</v>
      </c>
      <c r="O75">
        <f>J75/D75</f>
        <v>0.20142920768171019</v>
      </c>
      <c r="P75">
        <f t="shared" si="105"/>
        <v>-0.69587755555353226</v>
      </c>
      <c r="R75" s="4">
        <f>_xlfn.T.DIST.RT(E75*(G75-0.2),F75)</f>
        <v>0.80864225270237533</v>
      </c>
      <c r="S75">
        <f>R75*M75</f>
        <v>0.97747577835935118</v>
      </c>
      <c r="T75">
        <f>(1-R75)*P75</f>
        <v>-0.1331615614257016</v>
      </c>
      <c r="U75" s="2">
        <f>_xlfn.T.DIST.RT(E75*(G75-0.4),F75)</f>
        <v>0.99958138514925621</v>
      </c>
      <c r="V75">
        <f>U75*M75</f>
        <v>1.2082804098067599</v>
      </c>
      <c r="W75">
        <f>(1-U75)*P75</f>
        <v>-2.913046790539971E-4</v>
      </c>
      <c r="X75" s="2">
        <f>_xlfn.T.DIST.RT(E75*(G75-0.8),F75)</f>
        <v>0.99999999999999201</v>
      </c>
      <c r="Y75">
        <f>X75*M75</f>
        <v>1.2087864257559491</v>
      </c>
      <c r="Z75">
        <f>(1-X75)*P75</f>
        <v>-5.5625708483669016E-15</v>
      </c>
      <c r="AB75">
        <f>C75*M75</f>
        <v>6.0439321287797942E-2</v>
      </c>
      <c r="AC75">
        <f>D75*P75</f>
        <v>-0.66108367777585564</v>
      </c>
      <c r="AD75">
        <f>(C75+0.01)*M75</f>
        <v>7.2527185545357531E-2</v>
      </c>
      <c r="AE75">
        <f>(D75-0.01)*P75</f>
        <v>-0.65412490222032027</v>
      </c>
      <c r="AF75">
        <f>(C75+0.05)*M75</f>
        <v>0.12087864257559588</v>
      </c>
      <c r="AG75">
        <f>(D75-0.05)*P75</f>
        <v>-0.62628979999817902</v>
      </c>
      <c r="AH75">
        <f>(C75+0.1)*M75</f>
        <v>0.18131796386339386</v>
      </c>
      <c r="AI75">
        <f>(D75-0.1)*P75</f>
        <v>-0.5914959222205024</v>
      </c>
      <c r="AK75">
        <f t="shared" si="79"/>
        <v>0.84431421693364961</v>
      </c>
      <c r="AL75">
        <f t="shared" si="80"/>
        <v>1.2079891051277059</v>
      </c>
      <c r="AM75">
        <f t="shared" si="81"/>
        <v>1.2087864257559435</v>
      </c>
      <c r="AN75">
        <f t="shared" si="82"/>
        <v>-0.6006443564880577</v>
      </c>
      <c r="AO75">
        <f t="shared" si="83"/>
        <v>-0.58159771667496274</v>
      </c>
      <c r="AP75">
        <f t="shared" si="84"/>
        <v>-0.50541115742258313</v>
      </c>
      <c r="AQ75">
        <f t="shared" si="88"/>
        <v>-0.41017795835710857</v>
      </c>
    </row>
    <row r="76" spans="1:43" x14ac:dyDescent="0.3">
      <c r="A76">
        <v>160</v>
      </c>
      <c r="B76">
        <v>0.2</v>
      </c>
      <c r="C76">
        <v>2.26914E-2</v>
      </c>
      <c r="D76">
        <f t="shared" ref="D76:D104" si="123">1-C76</f>
        <v>0.97730859999999997</v>
      </c>
      <c r="E76">
        <f t="shared" si="120"/>
        <v>12.649110640673518</v>
      </c>
      <c r="F76">
        <f t="shared" si="121"/>
        <v>159</v>
      </c>
      <c r="G76">
        <v>0.15945441115061401</v>
      </c>
      <c r="H76">
        <f t="shared" si="122"/>
        <v>-4.0545588849385999E-2</v>
      </c>
      <c r="I76" s="2">
        <v>0.695621447841134</v>
      </c>
      <c r="J76">
        <f>1-I76</f>
        <v>0.304378552158866</v>
      </c>
      <c r="L76">
        <f>I76/C76</f>
        <v>30.655730710363134</v>
      </c>
      <c r="M76">
        <f>LOG10(L76)</f>
        <v>1.4865116724350831</v>
      </c>
      <c r="O76">
        <f>J76/D76</f>
        <v>0.31144569090957147</v>
      </c>
      <c r="P76">
        <f>LOG10(O76)</f>
        <v>-0.50661767354611342</v>
      </c>
      <c r="R76" s="4">
        <f>_xlfn.T.DIST.RT(E76*(G76-0.2),F76)</f>
        <v>0.69562144784113311</v>
      </c>
      <c r="S76">
        <f>R76*M76</f>
        <v>1.0340494018120368</v>
      </c>
      <c r="T76">
        <f>(1-R76)*P76</f>
        <v>-0.15420355397205948</v>
      </c>
      <c r="U76" s="2">
        <f>_xlfn.T.DIST.RT(E76*(G76-0.4),F76)</f>
        <v>0.99862800377282179</v>
      </c>
      <c r="V76">
        <f>U76*M76</f>
        <v>1.4844721840288457</v>
      </c>
      <c r="W76">
        <f>(1-U76)*P76</f>
        <v>-6.9507753672706817E-4</v>
      </c>
      <c r="X76" s="2">
        <f>_xlfn.T.DIST.RT(E76*(G76-0.8),F76)</f>
        <v>0.99999999999993283</v>
      </c>
      <c r="Y76">
        <f>X76*M76</f>
        <v>1.4865116724349832</v>
      </c>
      <c r="Z76">
        <f>(1-X76)*P76</f>
        <v>-3.4028745654102037E-14</v>
      </c>
      <c r="AB76">
        <f>C76*M76</f>
        <v>3.3731030963893446E-2</v>
      </c>
      <c r="AC76">
        <f>D76*P76</f>
        <v>-0.4951218092686091</v>
      </c>
      <c r="AD76">
        <f>(C76+0.01)*M76</f>
        <v>4.859614768824428E-2</v>
      </c>
      <c r="AE76">
        <f>(D76-0.01)*P76</f>
        <v>-0.49005563253314799</v>
      </c>
      <c r="AF76">
        <f>(C76+0.05)*M76</f>
        <v>0.10805661458564761</v>
      </c>
      <c r="AG76">
        <f>(D76-0.05)*P76</f>
        <v>-0.46979092559130342</v>
      </c>
      <c r="AH76">
        <f>(C76+0.1)*M76</f>
        <v>0.18238219820740176</v>
      </c>
      <c r="AI76">
        <f>(D76-0.1)*P76</f>
        <v>-0.44446004191399779</v>
      </c>
      <c r="AK76">
        <f t="shared" ref="AK76:AK104" si="124">S76+T76</f>
        <v>0.87984584783997732</v>
      </c>
      <c r="AL76">
        <f t="shared" ref="AL76:AL104" si="125">V76+W76</f>
        <v>1.4837771064921186</v>
      </c>
      <c r="AM76">
        <f t="shared" ref="AM76:AM104" si="126">Y76+Z76</f>
        <v>1.4865116724349492</v>
      </c>
      <c r="AN76">
        <f t="shared" ref="AN76:AN104" si="127">AB76+AC76</f>
        <v>-0.46139077830471564</v>
      </c>
      <c r="AO76">
        <f t="shared" ref="AO76:AO104" si="128">AD76+AE76</f>
        <v>-0.44145948484490372</v>
      </c>
      <c r="AP76">
        <f t="shared" ref="AP76:AP104" si="129">AF76+AG76</f>
        <v>-0.36173431100565578</v>
      </c>
      <c r="AQ76">
        <f t="shared" si="88"/>
        <v>-0.26207784370659604</v>
      </c>
    </row>
    <row r="77" spans="1:43" x14ac:dyDescent="0.3">
      <c r="A77">
        <v>160</v>
      </c>
      <c r="B77">
        <v>0.2</v>
      </c>
      <c r="C77">
        <v>0.02</v>
      </c>
      <c r="D77">
        <f t="shared" si="123"/>
        <v>0.98</v>
      </c>
      <c r="E77">
        <f t="shared" si="120"/>
        <v>12.649110640673518</v>
      </c>
      <c r="F77">
        <f t="shared" si="121"/>
        <v>159</v>
      </c>
      <c r="G77">
        <f t="shared" ref="G77:G93" si="130">-_xlfn.T.INV(C77,F77)/E77</f>
        <v>0.16370590215248026</v>
      </c>
      <c r="H77">
        <f t="shared" si="122"/>
        <v>-3.6294097847519746E-2</v>
      </c>
      <c r="I77" s="2">
        <f>_xlfn.T.DIST.RT(E77*H77,F77)</f>
        <v>0.67660103901792912</v>
      </c>
      <c r="J77">
        <f>1-I77</f>
        <v>0.32339896098207088</v>
      </c>
      <c r="L77">
        <f>I77/C77</f>
        <v>33.830051950896454</v>
      </c>
      <c r="M77">
        <f t="shared" ref="M77:M93" si="131">LOG10(L77)</f>
        <v>1.5293026647099532</v>
      </c>
      <c r="O77">
        <f>J77/D77</f>
        <v>0.32999893977762335</v>
      </c>
      <c r="P77">
        <f t="shared" ref="P77:P93" si="132">LOG10(O77)</f>
        <v>-0.481487455423529</v>
      </c>
      <c r="R77" s="4">
        <f>_xlfn.T.DIST.RT(E77*(G77-0.2),F77)</f>
        <v>0.67660103901792912</v>
      </c>
      <c r="S77">
        <f>R77*M77</f>
        <v>1.034727771915642</v>
      </c>
      <c r="T77">
        <f>(1-R77)*P77</f>
        <v>-0.15571254280987046</v>
      </c>
      <c r="U77" s="2">
        <f>_xlfn.T.DIST.RT(E77*(G77-0.4),F77)</f>
        <v>0.99837762789732742</v>
      </c>
      <c r="V77">
        <f>U77*M77</f>
        <v>1.526821566730185</v>
      </c>
      <c r="W77">
        <f>(1-U77)*P77</f>
        <v>-7.8115181546593881E-4</v>
      </c>
      <c r="X77" s="2">
        <f>_xlfn.T.DIST.RT(E77*(G77-0.8),F77)</f>
        <v>0.99999999999990818</v>
      </c>
      <c r="Y77">
        <f>X77*M77</f>
        <v>1.5293026647098129</v>
      </c>
      <c r="Z77">
        <f>(1-X77)*P77</f>
        <v>-4.4207984565864775E-14</v>
      </c>
      <c r="AB77">
        <f>C77*M77</f>
        <v>3.0586053294199066E-2</v>
      </c>
      <c r="AC77">
        <f>D77*P77</f>
        <v>-0.47185770631505841</v>
      </c>
      <c r="AD77">
        <f>(C77+0.01)*M77</f>
        <v>4.5879079941298598E-2</v>
      </c>
      <c r="AE77">
        <f>(D77-0.01)*P77</f>
        <v>-0.46704283176082312</v>
      </c>
      <c r="AF77">
        <f>(C77+0.05)*M77</f>
        <v>0.10705118652969674</v>
      </c>
      <c r="AG77">
        <f>(D77-0.05)*P77</f>
        <v>-0.44778333354388195</v>
      </c>
      <c r="AH77">
        <f>(C77+0.1)*M77</f>
        <v>0.18351631976519439</v>
      </c>
      <c r="AI77">
        <f>(D77-0.1)*P77</f>
        <v>-0.42370896077270553</v>
      </c>
      <c r="AK77">
        <f t="shared" si="124"/>
        <v>0.87901522910577157</v>
      </c>
      <c r="AL77">
        <f t="shared" si="125"/>
        <v>1.5260404149147191</v>
      </c>
      <c r="AM77">
        <f t="shared" si="126"/>
        <v>1.5293026647097687</v>
      </c>
      <c r="AN77">
        <f t="shared" si="127"/>
        <v>-0.44127165302085936</v>
      </c>
      <c r="AO77">
        <f t="shared" si="128"/>
        <v>-0.42116375181952453</v>
      </c>
      <c r="AP77">
        <f t="shared" si="129"/>
        <v>-0.34073214701418519</v>
      </c>
      <c r="AQ77">
        <f t="shared" si="88"/>
        <v>-0.24019264100751114</v>
      </c>
    </row>
    <row r="78" spans="1:43" x14ac:dyDescent="0.3">
      <c r="A78">
        <v>160</v>
      </c>
      <c r="B78">
        <v>0.2</v>
      </c>
      <c r="C78">
        <v>0.01</v>
      </c>
      <c r="D78">
        <f t="shared" si="123"/>
        <v>0.99</v>
      </c>
      <c r="E78">
        <f t="shared" si="120"/>
        <v>12.649110640673518</v>
      </c>
      <c r="F78">
        <f t="shared" si="121"/>
        <v>159</v>
      </c>
      <c r="G78">
        <f t="shared" si="130"/>
        <v>0.185786112953823</v>
      </c>
      <c r="H78">
        <f t="shared" si="122"/>
        <v>-1.4213887046177015E-2</v>
      </c>
      <c r="I78" s="2">
        <f>_xlfn.T.DIST.RT(E78*H78,F78)</f>
        <v>0.57122800756043401</v>
      </c>
      <c r="J78">
        <f>1-I78</f>
        <v>0.42877199243956599</v>
      </c>
      <c r="L78">
        <f>I78/C78</f>
        <v>57.122800756043404</v>
      </c>
      <c r="M78">
        <f t="shared" si="131"/>
        <v>1.7568094929396019</v>
      </c>
      <c r="O78">
        <f>J78/D78</f>
        <v>0.4331030226662283</v>
      </c>
      <c r="P78">
        <f t="shared" si="132"/>
        <v>-0.36340878527804787</v>
      </c>
      <c r="R78" s="4">
        <f>_xlfn.T.DIST.RT(E78*(G78-0.2),F78)</f>
        <v>0.57122800756043401</v>
      </c>
      <c r="S78">
        <f>R78*M78</f>
        <v>1.003538786315145</v>
      </c>
      <c r="T78">
        <f>(1-R78)*P78</f>
        <v>-0.15581950893371099</v>
      </c>
      <c r="U78" s="2">
        <f>_xlfn.T.DIST.RT(E78*(G78-0.4),F78)</f>
        <v>0.99626243282110027</v>
      </c>
      <c r="V78">
        <f>U78*M78</f>
        <v>1.7502432994392114</v>
      </c>
      <c r="W78">
        <f>(1-U78)*P78</f>
        <v>-1.3582647483790496E-3</v>
      </c>
      <c r="X78" s="2">
        <f>_xlfn.T.DIST.RT(E78*(G78-0.8),F78)</f>
        <v>0.99999999999954114</v>
      </c>
      <c r="Y78">
        <f>X78*M78</f>
        <v>1.7568094929387958</v>
      </c>
      <c r="Z78">
        <f>(1-X78)*P78</f>
        <v>-1.6675200215689709E-13</v>
      </c>
      <c r="AB78">
        <f>C78*M78</f>
        <v>1.7568094929396018E-2</v>
      </c>
      <c r="AC78">
        <f>D78*P78</f>
        <v>-0.35977469742526741</v>
      </c>
      <c r="AD78">
        <f>(C78+0.01)*M78</f>
        <v>3.5136189858792036E-2</v>
      </c>
      <c r="AE78">
        <f>(D78-0.01)*P78</f>
        <v>-0.35614060957248689</v>
      </c>
      <c r="AF78">
        <f>(C78+0.05)*M78</f>
        <v>0.10540856957637612</v>
      </c>
      <c r="AG78">
        <f>(D78-0.05)*P78</f>
        <v>-0.34160425816136497</v>
      </c>
      <c r="AH78">
        <f>(C78+0.1)*M78</f>
        <v>0.1932490442233562</v>
      </c>
      <c r="AI78">
        <f>(D78-0.1)*P78</f>
        <v>-0.32343381889746259</v>
      </c>
      <c r="AK78">
        <f t="shared" si="124"/>
        <v>0.84771927738143404</v>
      </c>
      <c r="AL78">
        <f t="shared" si="125"/>
        <v>1.7488850346908325</v>
      </c>
      <c r="AM78">
        <f t="shared" si="126"/>
        <v>1.7568094929386291</v>
      </c>
      <c r="AN78">
        <f t="shared" si="127"/>
        <v>-0.34220660249587137</v>
      </c>
      <c r="AO78">
        <f t="shared" si="128"/>
        <v>-0.32100441971369487</v>
      </c>
      <c r="AP78">
        <f t="shared" si="129"/>
        <v>-0.23619568858498885</v>
      </c>
      <c r="AQ78">
        <f t="shared" si="88"/>
        <v>-0.13018477467410638</v>
      </c>
    </row>
    <row r="79" spans="1:43" x14ac:dyDescent="0.3">
      <c r="A79">
        <v>160</v>
      </c>
      <c r="B79">
        <v>0.2</v>
      </c>
      <c r="C79">
        <v>5.0000000000000001E-3</v>
      </c>
      <c r="D79">
        <f t="shared" ref="D79" si="133">1-C79</f>
        <v>0.995</v>
      </c>
      <c r="E79">
        <f t="shared" ref="E79" si="134">SQRT(A79)</f>
        <v>12.649110640673518</v>
      </c>
      <c r="F79">
        <f t="shared" ref="F79" si="135">A79-1</f>
        <v>159</v>
      </c>
      <c r="G79">
        <f t="shared" ref="G79" si="136">-_xlfn.T.INV(C79,F79)/E79</f>
        <v>0.20610962804414582</v>
      </c>
      <c r="H79">
        <f t="shared" ref="H79" si="137">G79-B79</f>
        <v>6.109628044145804E-3</v>
      </c>
      <c r="I79" s="2">
        <f>_xlfn.T.DIST.RT(E79*H79,F79)</f>
        <v>0.46924844066121008</v>
      </c>
      <c r="J79">
        <f>1-I79</f>
        <v>0.53075155933878992</v>
      </c>
      <c r="L79">
        <f>I79/C79</f>
        <v>93.849688132242008</v>
      </c>
      <c r="M79">
        <f t="shared" ref="M79" si="138">LOG10(L79)</f>
        <v>1.9724328337749313</v>
      </c>
      <c r="O79">
        <f>J79/D79</f>
        <v>0.53341865260179888</v>
      </c>
      <c r="P79">
        <f t="shared" ref="P79" si="139">LOG10(O79)</f>
        <v>-0.27293180195622968</v>
      </c>
      <c r="R79" s="4">
        <f>_xlfn.T.DIST.RT(E79*(G79-0.2),F79)</f>
        <v>0.46924844066121008</v>
      </c>
      <c r="S79">
        <f>R79*M79</f>
        <v>0.92556103155785829</v>
      </c>
      <c r="T79">
        <f>(1-R79)*P79</f>
        <v>-0.14485897948141468</v>
      </c>
      <c r="U79" s="2">
        <f>_xlfn.T.DIST.RT(E79*(G79-0.4),F79)</f>
        <v>0.99236694579099116</v>
      </c>
      <c r="V79">
        <f>U79*M79</f>
        <v>1.9573771470310983</v>
      </c>
      <c r="W79">
        <f>(1-U79)*P79</f>
        <v>-2.0833032396943658E-3</v>
      </c>
      <c r="X79" s="2">
        <f>_xlfn.T.DIST.RT(E79*(G79-0.8),F79)</f>
        <v>0.99999999999802358</v>
      </c>
      <c r="Y79">
        <f>X79*M79</f>
        <v>1.9724328337710328</v>
      </c>
      <c r="Z79">
        <f>(1-X79)*P79</f>
        <v>-5.3942760685208317E-13</v>
      </c>
      <c r="AB79">
        <f>C79*M79</f>
        <v>9.862164168874657E-3</v>
      </c>
      <c r="AC79">
        <f>D79*P79</f>
        <v>-0.27156714294644851</v>
      </c>
      <c r="AD79">
        <f>(C79+0.01)*M79</f>
        <v>2.9586492506623967E-2</v>
      </c>
      <c r="AE79">
        <f>(D79-0.01)*P79</f>
        <v>-0.26883782492688624</v>
      </c>
      <c r="AF79">
        <f>(C79+0.05)*M79</f>
        <v>0.10848380585762123</v>
      </c>
      <c r="AG79">
        <f>(D79-0.05)*P79</f>
        <v>-0.25792055284863702</v>
      </c>
      <c r="AH79">
        <f>(C79+0.1)*M79</f>
        <v>0.20710544754636781</v>
      </c>
      <c r="AI79">
        <f>(D79-0.1)*P79</f>
        <v>-0.24427396275082558</v>
      </c>
      <c r="AK79">
        <f t="shared" ref="AK79" si="140">S79+T79</f>
        <v>0.78070205207644361</v>
      </c>
      <c r="AL79">
        <f t="shared" ref="AL79" si="141">V79+W79</f>
        <v>1.955293843791404</v>
      </c>
      <c r="AM79">
        <f t="shared" ref="AM79" si="142">Y79+Z79</f>
        <v>1.9724328337704935</v>
      </c>
      <c r="AN79">
        <f t="shared" ref="AN79" si="143">AB79+AC79</f>
        <v>-0.26170497877757387</v>
      </c>
      <c r="AO79">
        <f t="shared" ref="AO79" si="144">AD79+AE79</f>
        <v>-0.23925133242026228</v>
      </c>
      <c r="AP79">
        <f t="shared" ref="AP79" si="145">AF79+AG79</f>
        <v>-0.14943674699101578</v>
      </c>
      <c r="AQ79">
        <f t="shared" ref="AQ79" si="146">AH79+AI79</f>
        <v>-3.7168515204457769E-2</v>
      </c>
    </row>
    <row r="80" spans="1:43" x14ac:dyDescent="0.3">
      <c r="A80">
        <v>160</v>
      </c>
      <c r="B80">
        <v>0.2</v>
      </c>
      <c r="C80">
        <v>2E-3</v>
      </c>
      <c r="D80">
        <f t="shared" si="123"/>
        <v>0.998</v>
      </c>
      <c r="E80">
        <f t="shared" si="120"/>
        <v>12.649110640673518</v>
      </c>
      <c r="F80">
        <f t="shared" si="121"/>
        <v>159</v>
      </c>
      <c r="G80">
        <f t="shared" si="130"/>
        <v>0.23090543100349714</v>
      </c>
      <c r="H80">
        <f t="shared" si="122"/>
        <v>3.090543100349713E-2</v>
      </c>
      <c r="I80" s="2">
        <f>_xlfn.T.DIST.RT(E80*H80,F80)</f>
        <v>0.34818754686088532</v>
      </c>
      <c r="J80">
        <f>1-I80</f>
        <v>0.65181245313911473</v>
      </c>
      <c r="L80">
        <f>I80/C80</f>
        <v>174.09377343044267</v>
      </c>
      <c r="M80">
        <f t="shared" si="131"/>
        <v>2.240783238589144</v>
      </c>
      <c r="O80">
        <f>J80/D80</f>
        <v>0.65311869052015503</v>
      </c>
      <c r="P80">
        <f t="shared" si="132"/>
        <v>-0.18500788770820673</v>
      </c>
      <c r="R80" s="4">
        <f>_xlfn.T.DIST.RT(E80*(G80-0.2),F80)</f>
        <v>0.34818754686088532</v>
      </c>
      <c r="S80">
        <f>R80*M80</f>
        <v>0.78021281889134397</v>
      </c>
      <c r="T80">
        <f>(1-R80)*P80</f>
        <v>-0.1205904451371721</v>
      </c>
      <c r="U80" s="2">
        <f>_xlfn.T.DIST.RT(E80*(G80-0.4),F80)</f>
        <v>0.98301455174847618</v>
      </c>
      <c r="V80">
        <f>U80*M80</f>
        <v>2.2027225308472063</v>
      </c>
      <c r="W80">
        <f>(1-U80)*P80</f>
        <v>-3.1424419027914745E-3</v>
      </c>
      <c r="X80" s="2">
        <f>_xlfn.T.DIST.RT(E80*(G80-0.8),F80)</f>
        <v>0.99999999998860878</v>
      </c>
      <c r="Y80">
        <f>X80*M80</f>
        <v>2.2407832385636186</v>
      </c>
      <c r="Z80">
        <f>(1-X80)*P80</f>
        <v>-2.1074657910486053E-12</v>
      </c>
      <c r="AB80">
        <f>C80*M80</f>
        <v>4.4815664771782884E-3</v>
      </c>
      <c r="AC80">
        <f>D80*P80</f>
        <v>-0.1846378719327903</v>
      </c>
      <c r="AD80">
        <f>(C80+0.01)*M80</f>
        <v>2.6889398863069729E-2</v>
      </c>
      <c r="AE80">
        <f>(D80-0.01)*P80</f>
        <v>-0.18278779305570825</v>
      </c>
      <c r="AF80">
        <f>(C80+0.05)*M80</f>
        <v>0.11652072840663549</v>
      </c>
      <c r="AG80">
        <f>(D80-0.05)*P80</f>
        <v>-0.17538747754737996</v>
      </c>
      <c r="AH80">
        <f>(C80+0.1)*M80</f>
        <v>0.2285598903360927</v>
      </c>
      <c r="AI80">
        <f>(D80-0.1)*P80</f>
        <v>-0.16613708316196965</v>
      </c>
      <c r="AK80">
        <f t="shared" si="124"/>
        <v>0.65962237375417188</v>
      </c>
      <c r="AL80">
        <f t="shared" si="125"/>
        <v>2.1995800889444146</v>
      </c>
      <c r="AM80">
        <f t="shared" si="126"/>
        <v>2.240783238561511</v>
      </c>
      <c r="AN80">
        <f t="shared" si="127"/>
        <v>-0.18015630545561201</v>
      </c>
      <c r="AO80">
        <f t="shared" si="128"/>
        <v>-0.15589839419263851</v>
      </c>
      <c r="AP80">
        <f t="shared" si="129"/>
        <v>-5.8866749140744468E-2</v>
      </c>
      <c r="AQ80">
        <f t="shared" si="88"/>
        <v>6.2422807174123046E-2</v>
      </c>
    </row>
    <row r="81" spans="1:43" x14ac:dyDescent="0.3">
      <c r="A81">
        <v>160</v>
      </c>
      <c r="B81">
        <v>0.2</v>
      </c>
      <c r="C81">
        <v>1E-3</v>
      </c>
      <c r="D81">
        <f t="shared" si="123"/>
        <v>0.999</v>
      </c>
      <c r="E81">
        <f t="shared" si="120"/>
        <v>12.649110640673518</v>
      </c>
      <c r="F81">
        <f t="shared" si="121"/>
        <v>159</v>
      </c>
      <c r="G81">
        <f t="shared" si="130"/>
        <v>0.24841896675643535</v>
      </c>
      <c r="H81">
        <f t="shared" si="122"/>
        <v>4.8418966756435339E-2</v>
      </c>
      <c r="I81" s="2">
        <f>_xlfn.T.DIST.RT(E81*H81,F81)</f>
        <v>0.27055522214422312</v>
      </c>
      <c r="J81">
        <f>1-I81</f>
        <v>0.72944477785577688</v>
      </c>
      <c r="L81">
        <f>I81/C81</f>
        <v>270.55522214422314</v>
      </c>
      <c r="M81">
        <f t="shared" si="131"/>
        <v>2.4322559209207246</v>
      </c>
      <c r="O81">
        <f>J81/D81</f>
        <v>0.73017495280858546</v>
      </c>
      <c r="P81">
        <f t="shared" si="132"/>
        <v>-0.13657306873439867</v>
      </c>
      <c r="R81" s="4">
        <f>_xlfn.T.DIST.RT(E81*(G81-0.2),F81)</f>
        <v>0.27055522214422312</v>
      </c>
      <c r="S81">
        <f>R81*M81</f>
        <v>0.65805954099630859</v>
      </c>
      <c r="T81">
        <f>(1-R81)*P81</f>
        <v>-9.9622511784045187E-2</v>
      </c>
      <c r="U81" s="2">
        <f>_xlfn.T.DIST.RT(E81*(G81-0.4),F81)</f>
        <v>0.97150773877455088</v>
      </c>
      <c r="V81">
        <f>U81*M81</f>
        <v>2.3629554498547058</v>
      </c>
      <c r="W81">
        <f>(1-U81)*P81</f>
        <v>-3.8912755507417053E-3</v>
      </c>
      <c r="X81" s="2">
        <f>_xlfn.T.DIST.RT(E81*(G81-0.8),F81)</f>
        <v>0.9999999999615794</v>
      </c>
      <c r="Y81">
        <f>X81*M81</f>
        <v>2.4322559208272758</v>
      </c>
      <c r="Z81">
        <f>(1-X81)*P81</f>
        <v>-5.247219249367271E-12</v>
      </c>
      <c r="AB81">
        <f>C81*M81</f>
        <v>2.4322559209207246E-3</v>
      </c>
      <c r="AC81">
        <f>D81*P81</f>
        <v>-0.13643649566566426</v>
      </c>
      <c r="AD81">
        <f>(C81+0.01)*M81</f>
        <v>2.6754815130127969E-2</v>
      </c>
      <c r="AE81">
        <f>(D81-0.01)*P81</f>
        <v>-0.1350707649783203</v>
      </c>
      <c r="AF81">
        <f>(C81+0.05)*M81</f>
        <v>0.12404505196695696</v>
      </c>
      <c r="AG81">
        <f>(D81-0.05)*P81</f>
        <v>-0.12960784222894434</v>
      </c>
      <c r="AH81">
        <f>(C81+0.1)*M81</f>
        <v>0.2456578480129932</v>
      </c>
      <c r="AI81">
        <f>(D81-0.1)*P81</f>
        <v>-0.12277918879222441</v>
      </c>
      <c r="AK81">
        <f t="shared" si="124"/>
        <v>0.55843702921226335</v>
      </c>
      <c r="AL81">
        <f t="shared" si="125"/>
        <v>2.3590641743039642</v>
      </c>
      <c r="AM81">
        <f t="shared" si="126"/>
        <v>2.4322559208220285</v>
      </c>
      <c r="AN81">
        <f t="shared" si="127"/>
        <v>-0.13400423974474354</v>
      </c>
      <c r="AO81">
        <f t="shared" si="128"/>
        <v>-0.10831594984819233</v>
      </c>
      <c r="AP81">
        <f t="shared" si="129"/>
        <v>-5.5627902619873743E-3</v>
      </c>
      <c r="AQ81">
        <f t="shared" si="88"/>
        <v>0.12287865922076879</v>
      </c>
    </row>
    <row r="82" spans="1:43" x14ac:dyDescent="0.3">
      <c r="A82">
        <v>160</v>
      </c>
      <c r="B82">
        <v>0.2</v>
      </c>
      <c r="C82">
        <v>1E-4</v>
      </c>
      <c r="D82">
        <f t="shared" si="123"/>
        <v>0.99990000000000001</v>
      </c>
      <c r="E82">
        <f t="shared" si="120"/>
        <v>12.649110640673518</v>
      </c>
      <c r="F82">
        <f t="shared" si="121"/>
        <v>159</v>
      </c>
      <c r="G82">
        <f t="shared" si="130"/>
        <v>0.30101559354259499</v>
      </c>
      <c r="H82">
        <f t="shared" si="122"/>
        <v>0.10101559354259498</v>
      </c>
      <c r="I82" s="2">
        <f>_xlfn.T.DIST.RT(E82*H82,F82)</f>
        <v>0.1015986847143999</v>
      </c>
      <c r="J82">
        <f>1-I82</f>
        <v>0.89840131528560008</v>
      </c>
      <c r="L82">
        <f>I82/C82</f>
        <v>1015.9868471439989</v>
      </c>
      <c r="M82">
        <f t="shared" si="131"/>
        <v>3.0068880856548321</v>
      </c>
      <c r="O82">
        <f>J82/D82</f>
        <v>0.89849116440204024</v>
      </c>
      <c r="P82">
        <f t="shared" si="132"/>
        <v>-4.6486189306599576E-2</v>
      </c>
      <c r="R82" s="4">
        <f>_xlfn.T.DIST.RT(E82*(G82-0.2),F82)</f>
        <v>0.1015986847143999</v>
      </c>
      <c r="S82">
        <f>R82*M82</f>
        <v>0.30549587458593075</v>
      </c>
      <c r="T82">
        <f>(1-R82)*P82</f>
        <v>-4.1763253615664457E-2</v>
      </c>
      <c r="U82" s="2">
        <f>_xlfn.T.DIST.RT(E82*(G82-0.4),F82)</f>
        <v>0.8938075255684208</v>
      </c>
      <c r="V82">
        <f>U82*M82</f>
        <v>2.6875791995003113</v>
      </c>
      <c r="W82">
        <f>(1-U82)*P82</f>
        <v>-4.9364834693626262E-3</v>
      </c>
      <c r="X82" s="2">
        <f>_xlfn.T.DIST.RT(E82*(G82-0.8),F82)</f>
        <v>0.9999999986851309</v>
      </c>
      <c r="Y82">
        <f>X82*M82</f>
        <v>3.0068880817011681</v>
      </c>
      <c r="Z82">
        <f>(1-X82)*P82</f>
        <v>-6.1123254011594587E-11</v>
      </c>
      <c r="AB82">
        <f>C82*M82</f>
        <v>3.0068880856548325E-4</v>
      </c>
      <c r="AC82">
        <f>D82*P82</f>
        <v>-4.6481540687668917E-2</v>
      </c>
      <c r="AD82">
        <f>(C82+0.01)*M82</f>
        <v>3.0369569665113803E-2</v>
      </c>
      <c r="AE82">
        <f>(D82-0.01)*P82</f>
        <v>-4.6016678794602923E-2</v>
      </c>
      <c r="AF82">
        <f>(C82+0.05)*M82</f>
        <v>0.15064509309130711</v>
      </c>
      <c r="AG82">
        <f>(D82-0.05)*P82</f>
        <v>-4.4157231222338937E-2</v>
      </c>
      <c r="AH82">
        <f>(C82+0.1)*M82</f>
        <v>0.30098949737404873</v>
      </c>
      <c r="AI82">
        <f>(D82-0.1)*P82</f>
        <v>-4.1832921757008958E-2</v>
      </c>
      <c r="AK82">
        <f t="shared" si="124"/>
        <v>0.26373262097026628</v>
      </c>
      <c r="AL82">
        <f t="shared" si="125"/>
        <v>2.6826427160309487</v>
      </c>
      <c r="AM82">
        <f t="shared" si="126"/>
        <v>3.006888081640045</v>
      </c>
      <c r="AN82">
        <f t="shared" si="127"/>
        <v>-4.6180851879103431E-2</v>
      </c>
      <c r="AO82">
        <f t="shared" si="128"/>
        <v>-1.564710912948912E-2</v>
      </c>
      <c r="AP82">
        <f t="shared" si="129"/>
        <v>0.10648786186896816</v>
      </c>
      <c r="AQ82">
        <f t="shared" si="88"/>
        <v>0.25915657561703975</v>
      </c>
    </row>
    <row r="83" spans="1:43" x14ac:dyDescent="0.3">
      <c r="A83">
        <v>160</v>
      </c>
      <c r="B83">
        <v>0.2</v>
      </c>
      <c r="C83">
        <v>1.0000000000000001E-5</v>
      </c>
      <c r="D83">
        <f t="shared" si="123"/>
        <v>0.99999000000000005</v>
      </c>
      <c r="E83">
        <f t="shared" si="120"/>
        <v>12.649110640673518</v>
      </c>
      <c r="F83">
        <f t="shared" si="121"/>
        <v>159</v>
      </c>
      <c r="G83">
        <f t="shared" si="130"/>
        <v>0.34761836642998639</v>
      </c>
      <c r="H83">
        <f t="shared" si="122"/>
        <v>0.14761836642998638</v>
      </c>
      <c r="I83" s="2">
        <f>_xlfn.T.DIST.RT(E83*H83,F83)</f>
        <v>3.1854408169413498E-2</v>
      </c>
      <c r="J83">
        <f>1-I83</f>
        <v>0.96814559183058646</v>
      </c>
      <c r="L83">
        <f>I83/C83</f>
        <v>3185.4408169413496</v>
      </c>
      <c r="M83">
        <f t="shared" si="131"/>
        <v>3.5031695406330776</v>
      </c>
      <c r="O83">
        <f>J83/D83</f>
        <v>0.9681552733833203</v>
      </c>
      <c r="P83">
        <f t="shared" si="132"/>
        <v>-1.4054984669200736E-2</v>
      </c>
      <c r="R83" s="4">
        <f>_xlfn.T.DIST.RT(E83*(G83-0.2),F83)</f>
        <v>3.1854408169413498E-2</v>
      </c>
      <c r="S83">
        <f>R83*M83</f>
        <v>0.11159139243398283</v>
      </c>
      <c r="T83">
        <f>(1-R83)*P83</f>
        <v>-1.3607271450733167E-2</v>
      </c>
      <c r="U83" s="2">
        <f>_xlfn.T.DIST.RT(E83*(G83-0.4),F83)</f>
        <v>0.74572090157435633</v>
      </c>
      <c r="V83">
        <f>U83*M83</f>
        <v>2.6123867482087224</v>
      </c>
      <c r="W83">
        <f>(1-U83)*P83</f>
        <v>-3.5738888300706068E-3</v>
      </c>
      <c r="X83" s="2">
        <f>_xlfn.T.DIST.RT(E83*(G83-0.8),F83)</f>
        <v>0.99999997454367695</v>
      </c>
      <c r="Y83">
        <f>X83*M83</f>
        <v>3.5031694514552623</v>
      </c>
      <c r="Z83">
        <f>(1-X83)*P83</f>
        <v>-3.5778823019509622E-10</v>
      </c>
      <c r="AB83">
        <f>C83*M83</f>
        <v>3.5031695406330777E-5</v>
      </c>
      <c r="AC83">
        <f>D83*P83</f>
        <v>-1.4054844119354044E-2</v>
      </c>
      <c r="AD83">
        <f>(C83+0.01)*M83</f>
        <v>3.5066727101737104E-2</v>
      </c>
      <c r="AE83">
        <f>(D83-0.01)*P83</f>
        <v>-1.3914294272662038E-2</v>
      </c>
      <c r="AF83">
        <f>(C83+0.05)*M83</f>
        <v>0.17519350872706024</v>
      </c>
      <c r="AG83">
        <f>(D83-0.05)*P83</f>
        <v>-1.3352094885894008E-2</v>
      </c>
      <c r="AH83">
        <f>(C83+0.1)*M83</f>
        <v>0.35035198575871412</v>
      </c>
      <c r="AI83">
        <f>(D83-0.1)*P83</f>
        <v>-1.2649345652433971E-2</v>
      </c>
      <c r="AK83">
        <f t="shared" si="124"/>
        <v>9.798412098324967E-2</v>
      </c>
      <c r="AL83">
        <f t="shared" si="125"/>
        <v>2.6088128593786517</v>
      </c>
      <c r="AM83">
        <f t="shared" si="126"/>
        <v>3.5031694510974742</v>
      </c>
      <c r="AN83">
        <f t="shared" si="127"/>
        <v>-1.4019812423947713E-2</v>
      </c>
      <c r="AO83">
        <f t="shared" si="128"/>
        <v>2.1152432829075064E-2</v>
      </c>
      <c r="AP83">
        <f t="shared" si="129"/>
        <v>0.16184141384116624</v>
      </c>
      <c r="AQ83">
        <f t="shared" si="88"/>
        <v>0.33770264010628015</v>
      </c>
    </row>
    <row r="84" spans="1:43" x14ac:dyDescent="0.3">
      <c r="A84">
        <v>160</v>
      </c>
      <c r="B84">
        <v>0.2</v>
      </c>
      <c r="C84">
        <v>9.9999999999999995E-7</v>
      </c>
      <c r="D84">
        <f t="shared" si="123"/>
        <v>0.99999899999999997</v>
      </c>
      <c r="E84">
        <f t="shared" si="120"/>
        <v>12.649110640673518</v>
      </c>
      <c r="F84">
        <f t="shared" si="121"/>
        <v>159</v>
      </c>
      <c r="G84">
        <f t="shared" si="130"/>
        <v>0.39019548082742761</v>
      </c>
      <c r="H84">
        <f t="shared" si="122"/>
        <v>0.1901954808274276</v>
      </c>
      <c r="I84" s="2">
        <f>_xlfn.T.DIST.RT(E84*H84,F84)</f>
        <v>8.642319569070054E-3</v>
      </c>
      <c r="J84">
        <f>1-I84</f>
        <v>0.99135768043092998</v>
      </c>
      <c r="L84">
        <f>I84/C84</f>
        <v>8642.3195690700541</v>
      </c>
      <c r="M84">
        <f t="shared" si="131"/>
        <v>3.9366303212806613</v>
      </c>
      <c r="O84">
        <f>J84/D84</f>
        <v>0.9913586717896018</v>
      </c>
      <c r="P84">
        <f t="shared" si="132"/>
        <v>-3.769190119028723E-3</v>
      </c>
      <c r="R84" s="4">
        <f>_xlfn.T.DIST.RT(E84*(G84-0.2),F84)</f>
        <v>8.642319569070054E-3</v>
      </c>
      <c r="S84">
        <f>R84*M84</f>
        <v>3.4021617261798393E-2</v>
      </c>
      <c r="T84">
        <f>(1-R84)*P84</f>
        <v>-3.7366155735034955E-3</v>
      </c>
      <c r="U84" s="2">
        <f>_xlfn.T.DIST.RT(E84*(G84-0.4),F84)</f>
        <v>0.54927134430848357</v>
      </c>
      <c r="V84">
        <f>U84*M84</f>
        <v>2.1622782286153663</v>
      </c>
      <c r="W84">
        <f>(1-U84)*P84</f>
        <v>-1.6988819953955632E-3</v>
      </c>
      <c r="X84" s="2">
        <f>_xlfn.T.DIST.RT(E84*(G84-0.8),F84)</f>
        <v>0.99999967368280318</v>
      </c>
      <c r="Y84">
        <f>X84*M84</f>
        <v>3.9366290366904897</v>
      </c>
      <c r="Z84">
        <f>(1-X84)*P84</f>
        <v>-1.2299515539204698E-9</v>
      </c>
      <c r="AB84">
        <f>C84*M84</f>
        <v>3.9366303212806609E-6</v>
      </c>
      <c r="AC84">
        <f>D84*P84</f>
        <v>-3.7691863498386037E-3</v>
      </c>
      <c r="AD84">
        <f>(C84+0.01)*M84</f>
        <v>3.9370239843127888E-2</v>
      </c>
      <c r="AE84">
        <f>(D84-0.01)*P84</f>
        <v>-3.7314944486483165E-3</v>
      </c>
      <c r="AF84">
        <f>(C84+0.05)*M84</f>
        <v>0.19683545269435435</v>
      </c>
      <c r="AG84">
        <f>(D84-0.05)*P84</f>
        <v>-3.5807268438871674E-3</v>
      </c>
      <c r="AH84">
        <f>(C84+0.1)*M84</f>
        <v>0.39366696875838741</v>
      </c>
      <c r="AI84">
        <f>(D84-0.1)*P84</f>
        <v>-3.3922673379357315E-3</v>
      </c>
      <c r="AK84">
        <f t="shared" si="124"/>
        <v>3.0285001688294896E-2</v>
      </c>
      <c r="AL84">
        <f t="shared" si="125"/>
        <v>2.1605793466199708</v>
      </c>
      <c r="AM84">
        <f t="shared" si="126"/>
        <v>3.936629035460538</v>
      </c>
      <c r="AN84">
        <f t="shared" si="127"/>
        <v>-3.7652497195173229E-3</v>
      </c>
      <c r="AO84">
        <f t="shared" si="128"/>
        <v>3.5638745394479573E-2</v>
      </c>
      <c r="AP84">
        <f t="shared" si="129"/>
        <v>0.19325472585046718</v>
      </c>
      <c r="AQ84">
        <f t="shared" si="88"/>
        <v>0.39027470142045168</v>
      </c>
    </row>
    <row r="85" spans="1:43" x14ac:dyDescent="0.3">
      <c r="A85">
        <v>160</v>
      </c>
      <c r="B85">
        <v>0.2</v>
      </c>
      <c r="C85">
        <v>9.9999999999999995E-8</v>
      </c>
      <c r="D85">
        <f t="shared" si="123"/>
        <v>0.99999990000000005</v>
      </c>
      <c r="E85">
        <f t="shared" si="120"/>
        <v>12.649110640673518</v>
      </c>
      <c r="F85">
        <f t="shared" si="121"/>
        <v>159</v>
      </c>
      <c r="G85">
        <f t="shared" si="130"/>
        <v>0.42987401718206031</v>
      </c>
      <c r="H85">
        <f t="shared" si="122"/>
        <v>0.2298740171820603</v>
      </c>
      <c r="I85" s="2">
        <f>_xlfn.T.DIST.RT(E85*H85,F85)</f>
        <v>2.0808795988620245E-3</v>
      </c>
      <c r="J85">
        <f>1-I85</f>
        <v>0.99791912040113795</v>
      </c>
      <c r="L85">
        <f>I85/C85</f>
        <v>20808.795988620248</v>
      </c>
      <c r="M85">
        <f t="shared" si="131"/>
        <v>4.3182469523584013</v>
      </c>
      <c r="O85">
        <f>J85/D85</f>
        <v>0.9979192201930599</v>
      </c>
      <c r="P85">
        <f t="shared" si="132"/>
        <v>-9.0461266482046122E-4</v>
      </c>
      <c r="R85" s="4">
        <f>_xlfn.T.DIST.RT(E85*(G85-0.2),F85)</f>
        <v>2.0808795988620245E-3</v>
      </c>
      <c r="S85">
        <f>R85*M85</f>
        <v>8.9857519860107107E-3</v>
      </c>
      <c r="T85">
        <f>(1-R85)*P85</f>
        <v>-9.0273027478136414E-4</v>
      </c>
      <c r="U85" s="2">
        <f>_xlfn.T.DIST.RT(E85*(G85-0.4),F85)</f>
        <v>0.35301195243843442</v>
      </c>
      <c r="V85">
        <f>U85*M85</f>
        <v>1.5243927877633583</v>
      </c>
      <c r="W85">
        <f>(1-U85)*P85</f>
        <v>-5.8527358181165515E-4</v>
      </c>
      <c r="X85" s="2">
        <f>_xlfn.T.DIST.RT(E85*(G85-0.8),F85)</f>
        <v>0.999996971720015</v>
      </c>
      <c r="Y85">
        <f>X85*M85</f>
        <v>4.3182338754975849</v>
      </c>
      <c r="Z85">
        <f>(1-X85)*P85</f>
        <v>-2.7394204270493931E-9</v>
      </c>
      <c r="AB85">
        <f>C85*M85</f>
        <v>4.3182469523584012E-7</v>
      </c>
      <c r="AC85">
        <f>D85*P85</f>
        <v>-9.0461257435919481E-4</v>
      </c>
      <c r="AD85">
        <f>(C85+0.01)*M85</f>
        <v>4.3182901348279248E-2</v>
      </c>
      <c r="AE85">
        <f>(D85-0.01)*P85</f>
        <v>-8.9556644771099012E-4</v>
      </c>
      <c r="AF85">
        <f>(C85+0.05)*M85</f>
        <v>0.21591277944261533</v>
      </c>
      <c r="AG85">
        <f>(D85-0.05)*P85</f>
        <v>-8.5938194111817167E-4</v>
      </c>
      <c r="AH85">
        <f>(C85+0.1)*M85</f>
        <v>0.43182512706053539</v>
      </c>
      <c r="AI85">
        <f>(D85-0.1)*P85</f>
        <v>-8.1415130787714873E-4</v>
      </c>
      <c r="AK85">
        <f t="shared" si="124"/>
        <v>8.0830217112293472E-3</v>
      </c>
      <c r="AL85">
        <f t="shared" si="125"/>
        <v>1.5238075141815466</v>
      </c>
      <c r="AM85">
        <f t="shared" si="126"/>
        <v>4.3182338727581646</v>
      </c>
      <c r="AN85">
        <f t="shared" si="127"/>
        <v>-9.0418074966395893E-4</v>
      </c>
      <c r="AO85">
        <f t="shared" si="128"/>
        <v>4.2287334900568262E-2</v>
      </c>
      <c r="AP85">
        <f t="shared" si="129"/>
        <v>0.21505339750149716</v>
      </c>
      <c r="AQ85">
        <f t="shared" si="88"/>
        <v>0.43101097575265823</v>
      </c>
    </row>
    <row r="86" spans="1:43" x14ac:dyDescent="0.3">
      <c r="A86">
        <v>320</v>
      </c>
      <c r="B86">
        <v>0.2</v>
      </c>
      <c r="C86">
        <v>0.5</v>
      </c>
      <c r="D86">
        <f t="shared" si="123"/>
        <v>0.5</v>
      </c>
      <c r="E86">
        <f t="shared" si="120"/>
        <v>17.888543819998318</v>
      </c>
      <c r="F86">
        <f t="shared" si="121"/>
        <v>319</v>
      </c>
      <c r="G86">
        <f t="shared" si="130"/>
        <v>0</v>
      </c>
      <c r="H86">
        <f t="shared" si="122"/>
        <v>-0.2</v>
      </c>
      <c r="I86" s="2">
        <f>_xlfn.T.DIST.RT(E86*H86,F86)</f>
        <v>0.99979979467108848</v>
      </c>
      <c r="J86">
        <f>1-I86</f>
        <v>2.0020532891151799E-4</v>
      </c>
      <c r="L86">
        <f>I86/C86</f>
        <v>1.999599589342177</v>
      </c>
      <c r="M86">
        <f t="shared" si="131"/>
        <v>0.30094303888949198</v>
      </c>
      <c r="O86">
        <f>J86/D86</f>
        <v>4.0041065782303598E-4</v>
      </c>
      <c r="P86">
        <f t="shared" si="132"/>
        <v>-3.3974943713222583</v>
      </c>
      <c r="R86" s="4">
        <f>_xlfn.T.DIST.RT(E86*(G86-0.2),F86)</f>
        <v>0.99979979467108848</v>
      </c>
      <c r="S86">
        <f>R86*M86</f>
        <v>0.30088278848940747</v>
      </c>
      <c r="T86">
        <f>(1-R86)*P86</f>
        <v>-6.8019647808560376E-4</v>
      </c>
      <c r="U86" s="2">
        <f>_xlfn.T.DIST.RT(E86*(G86-0.4),F86)</f>
        <v>0.99999999999712119</v>
      </c>
      <c r="V86">
        <f>U86*M86</f>
        <v>0.30094303888862561</v>
      </c>
      <c r="W86">
        <f>(1-U86)*P86</f>
        <v>-9.780735005058956E-12</v>
      </c>
      <c r="X86" s="2">
        <f>_xlfn.T.DIST.RT(E86*(G86-0.8),F86)</f>
        <v>1</v>
      </c>
      <c r="Y86">
        <f>X86*M86</f>
        <v>0.30094303888949198</v>
      </c>
      <c r="Z86">
        <f>(1-X86)*P86</f>
        <v>0</v>
      </c>
      <c r="AB86">
        <f>C86*M86</f>
        <v>0.15047151944474599</v>
      </c>
      <c r="AC86">
        <f>D86*P86</f>
        <v>-1.6987471856611291</v>
      </c>
      <c r="AD86">
        <f>(C86+0.01)*M86</f>
        <v>0.15348094983364091</v>
      </c>
      <c r="AE86">
        <f>(D86-0.01)*P86</f>
        <v>-1.6647722419479065</v>
      </c>
      <c r="AF86">
        <f>(C86+0.05)*M86</f>
        <v>0.16551867138922061</v>
      </c>
      <c r="AG86">
        <f>(D86-0.05)*P86</f>
        <v>-1.5288724670950162</v>
      </c>
      <c r="AH86">
        <f>(C86+0.1)*M86</f>
        <v>0.18056582333369517</v>
      </c>
      <c r="AI86">
        <f>(D86-0.1)*P86</f>
        <v>-1.3589977485289033</v>
      </c>
      <c r="AK86">
        <f t="shared" si="124"/>
        <v>0.30020259201132188</v>
      </c>
      <c r="AL86">
        <f t="shared" si="125"/>
        <v>0.30094303887884488</v>
      </c>
      <c r="AM86">
        <f t="shared" si="126"/>
        <v>0.30094303888949198</v>
      </c>
      <c r="AN86">
        <f t="shared" si="127"/>
        <v>-1.5482756662163832</v>
      </c>
      <c r="AO86">
        <f t="shared" si="128"/>
        <v>-1.5112912921142656</v>
      </c>
      <c r="AP86">
        <f t="shared" si="129"/>
        <v>-1.3633537957057955</v>
      </c>
      <c r="AQ86">
        <f t="shared" si="88"/>
        <v>-1.1784319251952082</v>
      </c>
    </row>
    <row r="87" spans="1:43" x14ac:dyDescent="0.3">
      <c r="A87">
        <v>320</v>
      </c>
      <c r="B87">
        <v>0.2</v>
      </c>
      <c r="C87">
        <v>0.2</v>
      </c>
      <c r="D87">
        <f t="shared" si="123"/>
        <v>0.8</v>
      </c>
      <c r="E87">
        <f t="shared" si="120"/>
        <v>17.888543819998318</v>
      </c>
      <c r="F87">
        <f t="shared" si="121"/>
        <v>319</v>
      </c>
      <c r="G87">
        <f t="shared" si="130"/>
        <v>4.7111126963342305E-2</v>
      </c>
      <c r="H87">
        <f t="shared" si="122"/>
        <v>-0.15288887303665771</v>
      </c>
      <c r="I87" s="2">
        <f>_xlfn.T.DIST.RT(E87*H87,F87)</f>
        <v>0.99670618188181759</v>
      </c>
      <c r="J87">
        <f>1-I87</f>
        <v>3.2938181181824122E-3</v>
      </c>
      <c r="L87">
        <f>I87/C87</f>
        <v>4.9835309094090876</v>
      </c>
      <c r="M87">
        <f t="shared" si="131"/>
        <v>0.69753715623480061</v>
      </c>
      <c r="O87">
        <f>J87/D87</f>
        <v>4.1172726477280153E-3</v>
      </c>
      <c r="P87">
        <f t="shared" si="132"/>
        <v>-2.3853903728657322</v>
      </c>
      <c r="R87" s="4">
        <f>_xlfn.T.DIST.RT(E87*(G87-0.2),F87)</f>
        <v>0.99670618188181759</v>
      </c>
      <c r="S87">
        <f>R87*M87</f>
        <v>0.69523959571148897</v>
      </c>
      <c r="T87">
        <f>(1-R87)*P87</f>
        <v>-7.8570420290830483E-3</v>
      </c>
      <c r="U87" s="2">
        <f>_xlfn.T.DIST.RT(E87*(G87-0.4),F87)</f>
        <v>0.99999999954108831</v>
      </c>
      <c r="V87">
        <f>U87*M87</f>
        <v>0.69753715591469267</v>
      </c>
      <c r="W87">
        <f>(1-U87)*P87</f>
        <v>-1.09468351880458E-9</v>
      </c>
      <c r="X87" s="2">
        <f>_xlfn.T.DIST.RT(E87*(G87-0.8),F87)</f>
        <v>1</v>
      </c>
      <c r="Y87">
        <f>X87*M87</f>
        <v>0.69753715623480061</v>
      </c>
      <c r="Z87">
        <f>(1-X87)*P87</f>
        <v>0</v>
      </c>
      <c r="AB87">
        <f>C87*M87</f>
        <v>0.13950743124696013</v>
      </c>
      <c r="AC87">
        <f>D87*P87</f>
        <v>-1.9083122982925858</v>
      </c>
      <c r="AD87">
        <f>(C87+0.01)*M87</f>
        <v>0.14648280280930814</v>
      </c>
      <c r="AE87">
        <f>(D87-0.01)*P87</f>
        <v>-1.8844583945639286</v>
      </c>
      <c r="AF87">
        <f>(C87+0.05)*M87</f>
        <v>0.17438428905870015</v>
      </c>
      <c r="AG87">
        <f>(D87-0.05)*P87</f>
        <v>-1.7890427796492991</v>
      </c>
      <c r="AH87">
        <f>(C87+0.1)*M87</f>
        <v>0.20926114687044023</v>
      </c>
      <c r="AI87">
        <f>(D87-0.1)*P87</f>
        <v>-1.6697732610060128</v>
      </c>
      <c r="AK87">
        <f t="shared" si="124"/>
        <v>0.68738255368240597</v>
      </c>
      <c r="AL87">
        <f t="shared" si="125"/>
        <v>0.69753715482000911</v>
      </c>
      <c r="AM87">
        <f t="shared" si="126"/>
        <v>0.69753715623480061</v>
      </c>
      <c r="AN87">
        <f t="shared" si="127"/>
        <v>-1.7688048670456256</v>
      </c>
      <c r="AO87">
        <f t="shared" si="128"/>
        <v>-1.7379755917546205</v>
      </c>
      <c r="AP87">
        <f t="shared" si="129"/>
        <v>-1.614658490590599</v>
      </c>
      <c r="AQ87">
        <f t="shared" si="88"/>
        <v>-1.4605121141355726</v>
      </c>
    </row>
    <row r="88" spans="1:43" x14ac:dyDescent="0.3">
      <c r="A88">
        <v>320</v>
      </c>
      <c r="B88">
        <v>0.2</v>
      </c>
      <c r="C88">
        <v>0.1</v>
      </c>
      <c r="D88">
        <f t="shared" si="123"/>
        <v>0.9</v>
      </c>
      <c r="E88">
        <f t="shared" si="120"/>
        <v>17.888543819998318</v>
      </c>
      <c r="F88">
        <f t="shared" si="121"/>
        <v>319</v>
      </c>
      <c r="G88">
        <f t="shared" si="130"/>
        <v>7.1789580375653958E-2</v>
      </c>
      <c r="H88">
        <f t="shared" si="122"/>
        <v>-0.12821041962434604</v>
      </c>
      <c r="I88" s="2">
        <f>_xlfn.T.DIST.RT(E88*H88,F88)</f>
        <v>0.98876535333712079</v>
      </c>
      <c r="J88">
        <f>1-I88</f>
        <v>1.1234646662879211E-2</v>
      </c>
      <c r="L88">
        <f>I88/C88</f>
        <v>9.887653533371207</v>
      </c>
      <c r="M88">
        <f t="shared" si="131"/>
        <v>0.99509324019000245</v>
      </c>
      <c r="O88">
        <f>J88/D88</f>
        <v>1.2482940736532456E-2</v>
      </c>
      <c r="P88">
        <f t="shared" si="132"/>
        <v>-1.903683091320125</v>
      </c>
      <c r="R88" s="4">
        <f>_xlfn.T.DIST.RT(E88*(G88-0.2),F88)</f>
        <v>0.98876535333712079</v>
      </c>
      <c r="S88">
        <f>R88*M88</f>
        <v>0.98391371923984816</v>
      </c>
      <c r="T88">
        <f>(1-R88)*P88</f>
        <v>-2.1387206889079222E-2</v>
      </c>
      <c r="U88" s="2">
        <f>_xlfn.T.DIST.RT(E88*(G88-0.4),F88)</f>
        <v>0.99999999457292477</v>
      </c>
      <c r="V88">
        <f>U88*M88</f>
        <v>0.99509323478955658</v>
      </c>
      <c r="W88">
        <f>(1-U88)*P88</f>
        <v>-1.0331431357631111E-8</v>
      </c>
      <c r="X88" s="2">
        <f>_xlfn.T.DIST.RT(E88*(G88-0.8),F88)</f>
        <v>1</v>
      </c>
      <c r="Y88">
        <f>X88*M88</f>
        <v>0.99509324019000245</v>
      </c>
      <c r="Z88">
        <f>(1-X88)*P88</f>
        <v>0</v>
      </c>
      <c r="AB88">
        <f>C88*M88</f>
        <v>9.9509324019000256E-2</v>
      </c>
      <c r="AC88">
        <f>D88*P88</f>
        <v>-1.7133147821881125</v>
      </c>
      <c r="AD88">
        <f>(C88+0.01)*M88</f>
        <v>0.10946025642090026</v>
      </c>
      <c r="AE88">
        <f>(D88-0.01)*P88</f>
        <v>-1.6942779512749113</v>
      </c>
      <c r="AF88">
        <f>(C88+0.05)*M88</f>
        <v>0.14926398602850038</v>
      </c>
      <c r="AG88">
        <f>(D88-0.05)*P88</f>
        <v>-1.6181306276221061</v>
      </c>
      <c r="AH88">
        <f>(C88+0.1)*M88</f>
        <v>0.19901864803800051</v>
      </c>
      <c r="AI88">
        <f>(D88-0.1)*P88</f>
        <v>-1.5229464730561002</v>
      </c>
      <c r="AK88">
        <f t="shared" si="124"/>
        <v>0.96252651235076891</v>
      </c>
      <c r="AL88">
        <f t="shared" si="125"/>
        <v>0.9950932244581252</v>
      </c>
      <c r="AM88">
        <f t="shared" si="126"/>
        <v>0.99509324019000245</v>
      </c>
      <c r="AN88">
        <f t="shared" si="127"/>
        <v>-1.6138054581691121</v>
      </c>
      <c r="AO88">
        <f t="shared" si="128"/>
        <v>-1.5848176948540111</v>
      </c>
      <c r="AP88">
        <f t="shared" si="129"/>
        <v>-1.4688666415936058</v>
      </c>
      <c r="AQ88">
        <f t="shared" si="88"/>
        <v>-1.3239278250180997</v>
      </c>
    </row>
    <row r="89" spans="1:43" x14ac:dyDescent="0.3">
      <c r="A89">
        <v>320</v>
      </c>
      <c r="B89">
        <v>0.2</v>
      </c>
      <c r="C89">
        <v>0.05</v>
      </c>
      <c r="D89">
        <f t="shared" si="123"/>
        <v>0.95</v>
      </c>
      <c r="E89">
        <f t="shared" si="120"/>
        <v>17.888543819998318</v>
      </c>
      <c r="F89">
        <f t="shared" si="121"/>
        <v>319</v>
      </c>
      <c r="G89">
        <f t="shared" si="130"/>
        <v>9.2217920917795529E-2</v>
      </c>
      <c r="H89">
        <f t="shared" si="122"/>
        <v>-0.10778207908220448</v>
      </c>
      <c r="I89" s="2">
        <f>_xlfn.T.DIST.RT(E89*H89,F89)</f>
        <v>0.97263275333651433</v>
      </c>
      <c r="J89">
        <f>1-I89</f>
        <v>2.7367246663485667E-2</v>
      </c>
      <c r="L89">
        <f>I89/C89</f>
        <v>19.452655066730287</v>
      </c>
      <c r="M89">
        <f t="shared" si="131"/>
        <v>1.2889788859771631</v>
      </c>
      <c r="O89">
        <f>J89/D89</f>
        <v>2.8807628066827018E-2</v>
      </c>
      <c r="P89">
        <f t="shared" si="132"/>
        <v>-1.5404924987447759</v>
      </c>
      <c r="R89" s="4">
        <f>_xlfn.T.DIST.RT(E89*(G89-0.2),F89)</f>
        <v>0.97263275333651433</v>
      </c>
      <c r="S89">
        <f>R89*M89</f>
        <v>1.2537030828606011</v>
      </c>
      <c r="T89">
        <f>(1-R89)*P89</f>
        <v>-4.2159038196397665E-2</v>
      </c>
      <c r="U89" s="2">
        <f>_xlfn.T.DIST.RT(E89*(G89-0.4),F89)</f>
        <v>0.99999996215682341</v>
      </c>
      <c r="V89">
        <f>U89*M89</f>
        <v>1.2889788371981075</v>
      </c>
      <c r="W89">
        <f>(1-U89)*P89</f>
        <v>-5.8297129669249494E-8</v>
      </c>
      <c r="X89" s="2">
        <f>_xlfn.T.DIST.RT(E89*(G89-0.8),F89)</f>
        <v>1</v>
      </c>
      <c r="Y89">
        <f>X89*M89</f>
        <v>1.2889788859771631</v>
      </c>
      <c r="Z89">
        <f>(1-X89)*P89</f>
        <v>0</v>
      </c>
      <c r="AB89">
        <f>C89*M89</f>
        <v>6.4448944298858155E-2</v>
      </c>
      <c r="AC89">
        <f>D89*P89</f>
        <v>-1.4634678738075371</v>
      </c>
      <c r="AD89">
        <f>(C89+0.01)*M89</f>
        <v>7.7338733158629797E-2</v>
      </c>
      <c r="AE89">
        <f>(D89-0.01)*P89</f>
        <v>-1.4480629488200893</v>
      </c>
      <c r="AF89">
        <f>(C89+0.05)*M89</f>
        <v>0.12889788859771631</v>
      </c>
      <c r="AG89">
        <f>(D89-0.05)*P89</f>
        <v>-1.3864432488702982</v>
      </c>
      <c r="AH89">
        <f>(C89+0.1)*M89</f>
        <v>0.19334683289657451</v>
      </c>
      <c r="AI89">
        <f>(D89-0.1)*P89</f>
        <v>-1.3094186239330594</v>
      </c>
      <c r="AK89">
        <f t="shared" si="124"/>
        <v>1.2115440446642034</v>
      </c>
      <c r="AL89">
        <f t="shared" si="125"/>
        <v>1.2889787789009779</v>
      </c>
      <c r="AM89">
        <f t="shared" si="126"/>
        <v>1.2889788859771631</v>
      </c>
      <c r="AN89">
        <f t="shared" si="127"/>
        <v>-1.399018929508679</v>
      </c>
      <c r="AO89">
        <f t="shared" si="128"/>
        <v>-1.3707242156614596</v>
      </c>
      <c r="AP89">
        <f t="shared" si="129"/>
        <v>-1.2575453602725819</v>
      </c>
      <c r="AQ89">
        <f t="shared" si="88"/>
        <v>-1.116071791036485</v>
      </c>
    </row>
    <row r="90" spans="1:43" x14ac:dyDescent="0.3">
      <c r="A90">
        <v>320</v>
      </c>
      <c r="B90">
        <v>0.2</v>
      </c>
      <c r="C90">
        <v>0.02</v>
      </c>
      <c r="D90">
        <f t="shared" si="123"/>
        <v>0.98</v>
      </c>
      <c r="E90">
        <f t="shared" si="120"/>
        <v>17.888543819998318</v>
      </c>
      <c r="F90">
        <f t="shared" si="121"/>
        <v>319</v>
      </c>
      <c r="G90">
        <f t="shared" si="130"/>
        <v>0.11527941278262231</v>
      </c>
      <c r="H90">
        <f t="shared" si="122"/>
        <v>-8.4720587217377699E-2</v>
      </c>
      <c r="I90" s="2">
        <f>_xlfn.T.DIST.RT(E90*H90,F90)</f>
        <v>0.93468550009815188</v>
      </c>
      <c r="J90">
        <f>1-I90</f>
        <v>6.5314499901848122E-2</v>
      </c>
      <c r="L90">
        <f>I90/C90</f>
        <v>46.734275004907595</v>
      </c>
      <c r="M90">
        <f t="shared" si="131"/>
        <v>1.6696355098092994</v>
      </c>
      <c r="O90">
        <f>J90/D90</f>
        <v>6.6647448879436855E-2</v>
      </c>
      <c r="P90">
        <f t="shared" si="132"/>
        <v>-1.1762164697878219</v>
      </c>
      <c r="R90" s="4">
        <f>_xlfn.T.DIST.RT(E90*(G90-0.2),F90)</f>
        <v>0.93468550009815188</v>
      </c>
      <c r="S90">
        <f>R90*M90</f>
        <v>1.5605841014677377</v>
      </c>
      <c r="T90">
        <f>(1-R90)*P90</f>
        <v>-7.6823990500508837E-2</v>
      </c>
      <c r="U90" s="2">
        <f>_xlfn.T.DIST.RT(E90*(G90-0.4),F90)</f>
        <v>0.99999969830683766</v>
      </c>
      <c r="V90">
        <f>U90*M90</f>
        <v>1.6696350060916825</v>
      </c>
      <c r="W90">
        <f>(1-U90)*P90</f>
        <v>-3.5485646636807619E-7</v>
      </c>
      <c r="X90" s="2">
        <f>_xlfn.T.DIST.RT(E90*(G90-0.8),F90)</f>
        <v>1</v>
      </c>
      <c r="Y90">
        <f>X90*M90</f>
        <v>1.6696355098092994</v>
      </c>
      <c r="Z90">
        <f>(1-X90)*P90</f>
        <v>0</v>
      </c>
      <c r="AB90">
        <f>C90*M90</f>
        <v>3.339271019618599E-2</v>
      </c>
      <c r="AC90">
        <f>D90*P90</f>
        <v>-1.1526921403920654</v>
      </c>
      <c r="AD90">
        <f>(C90+0.01)*M90</f>
        <v>5.0089065294278978E-2</v>
      </c>
      <c r="AE90">
        <f>(D90-0.01)*P90</f>
        <v>-1.1409299756941873</v>
      </c>
      <c r="AF90">
        <f>(C90+0.05)*M90</f>
        <v>0.11687448568665097</v>
      </c>
      <c r="AG90">
        <f>(D90-0.05)*P90</f>
        <v>-1.0938813169026742</v>
      </c>
      <c r="AH90">
        <f>(C90+0.1)*M90</f>
        <v>0.20035626117711594</v>
      </c>
      <c r="AI90">
        <f>(D90-0.1)*P90</f>
        <v>-1.0350704934132833</v>
      </c>
      <c r="AK90">
        <f t="shared" si="124"/>
        <v>1.4837601109672289</v>
      </c>
      <c r="AL90">
        <f t="shared" si="125"/>
        <v>1.669634651235216</v>
      </c>
      <c r="AM90">
        <f t="shared" si="126"/>
        <v>1.6696355098092994</v>
      </c>
      <c r="AN90">
        <f t="shared" si="127"/>
        <v>-1.1192994301958794</v>
      </c>
      <c r="AO90">
        <f t="shared" si="128"/>
        <v>-1.0908409103999084</v>
      </c>
      <c r="AP90">
        <f t="shared" si="129"/>
        <v>-0.97700683121602327</v>
      </c>
      <c r="AQ90">
        <f t="shared" si="88"/>
        <v>-0.83471423223616736</v>
      </c>
    </row>
    <row r="91" spans="1:43" x14ac:dyDescent="0.3">
      <c r="A91">
        <v>320</v>
      </c>
      <c r="B91">
        <v>0.2</v>
      </c>
      <c r="C91">
        <v>0.01</v>
      </c>
      <c r="D91">
        <f t="shared" si="123"/>
        <v>0.99</v>
      </c>
      <c r="E91">
        <f t="shared" si="120"/>
        <v>17.888543819998318</v>
      </c>
      <c r="F91">
        <f t="shared" si="121"/>
        <v>319</v>
      </c>
      <c r="G91">
        <f t="shared" si="130"/>
        <v>0.13070343794538675</v>
      </c>
      <c r="H91">
        <f t="shared" si="122"/>
        <v>-6.9296562054613264E-2</v>
      </c>
      <c r="I91" s="2">
        <f>_xlfn.T.DIST.RT(E91*H91,F91)</f>
        <v>0.89198543123406893</v>
      </c>
      <c r="J91">
        <f>1-I91</f>
        <v>0.10801456876593107</v>
      </c>
      <c r="L91">
        <f>I91/C91</f>
        <v>89.198543123406893</v>
      </c>
      <c r="M91">
        <f t="shared" si="131"/>
        <v>1.9503577611179144</v>
      </c>
      <c r="O91">
        <f>J91/D91</f>
        <v>0.109105625016092</v>
      </c>
      <c r="P91">
        <f t="shared" si="132"/>
        <v>-0.96215285848154586</v>
      </c>
      <c r="R91" s="4">
        <f>_xlfn.T.DIST.RT(E91*(G91-0.2),F91)</f>
        <v>0.89198543123406893</v>
      </c>
      <c r="S91">
        <f>R91*M91</f>
        <v>1.7396907086114761</v>
      </c>
      <c r="T91">
        <f>(1-R91)*P91</f>
        <v>-0.10392652609579209</v>
      </c>
      <c r="U91" s="2">
        <f>_xlfn.T.DIST.RT(E91*(G91-0.4),F91)</f>
        <v>0.99999887361616735</v>
      </c>
      <c r="V91">
        <f>U91*M91</f>
        <v>1.9503555642664643</v>
      </c>
      <c r="W91">
        <f>(1-U91)*P91</f>
        <v>-1.0837534243318763E-6</v>
      </c>
      <c r="X91" s="2">
        <f>_xlfn.T.DIST.RT(E91*(G91-0.8),F91)</f>
        <v>1</v>
      </c>
      <c r="Y91">
        <f>X91*M91</f>
        <v>1.9503577611179144</v>
      </c>
      <c r="Z91">
        <f>(1-X91)*P91</f>
        <v>0</v>
      </c>
      <c r="AB91">
        <f>C91*M91</f>
        <v>1.9503577611179143E-2</v>
      </c>
      <c r="AC91">
        <f>D91*P91</f>
        <v>-0.95253132989673039</v>
      </c>
      <c r="AD91">
        <f>(C91+0.01)*M91</f>
        <v>3.9007155222358286E-2</v>
      </c>
      <c r="AE91">
        <f>(D91-0.01)*P91</f>
        <v>-0.94290980131191493</v>
      </c>
      <c r="AF91">
        <f>(C91+0.05)*M91</f>
        <v>0.11702146566707487</v>
      </c>
      <c r="AG91">
        <f>(D91-0.05)*P91</f>
        <v>-0.90442368697265307</v>
      </c>
      <c r="AH91">
        <f>(C91+0.1)*M91</f>
        <v>0.21453935372297059</v>
      </c>
      <c r="AI91">
        <f>(D91-0.1)*P91</f>
        <v>-0.85631604404857586</v>
      </c>
      <c r="AK91">
        <f t="shared" si="124"/>
        <v>1.6357641825156841</v>
      </c>
      <c r="AL91">
        <f t="shared" si="125"/>
        <v>1.9503544805130399</v>
      </c>
      <c r="AM91">
        <f t="shared" si="126"/>
        <v>1.9503577611179144</v>
      </c>
      <c r="AN91">
        <f t="shared" si="127"/>
        <v>-0.93302775228555124</v>
      </c>
      <c r="AO91">
        <f t="shared" si="128"/>
        <v>-0.90390264608955662</v>
      </c>
      <c r="AP91">
        <f t="shared" si="129"/>
        <v>-0.78740222130557824</v>
      </c>
      <c r="AQ91">
        <f t="shared" si="88"/>
        <v>-0.64177669032560525</v>
      </c>
    </row>
    <row r="92" spans="1:43" x14ac:dyDescent="0.3">
      <c r="A92">
        <v>320</v>
      </c>
      <c r="B92">
        <v>0.2</v>
      </c>
      <c r="C92">
        <v>5.0000000000000001E-3</v>
      </c>
      <c r="D92">
        <f t="shared" ref="D92" si="147">1-C92</f>
        <v>0.995</v>
      </c>
      <c r="E92">
        <f t="shared" ref="E92" si="148">SQRT(A92)</f>
        <v>17.888543819998318</v>
      </c>
      <c r="F92">
        <f t="shared" ref="F92" si="149">A92-1</f>
        <v>319</v>
      </c>
      <c r="G92">
        <f t="shared" ref="G92" si="150">-_xlfn.T.INV(C92,F92)/E92</f>
        <v>0.14485968777343639</v>
      </c>
      <c r="H92">
        <f t="shared" ref="H92" si="151">G92-B92</f>
        <v>-5.5140312226563626E-2</v>
      </c>
      <c r="I92" s="2">
        <f>_xlfn.T.DIST.RT(E92*H92,F92)</f>
        <v>0.83765286187468457</v>
      </c>
      <c r="J92">
        <f>1-I92</f>
        <v>0.16234713812531543</v>
      </c>
      <c r="L92">
        <f>I92/C92</f>
        <v>167.53057237493692</v>
      </c>
      <c r="M92">
        <f t="shared" ref="M92" si="152">LOG10(L92)</f>
        <v>2.2240940722813627</v>
      </c>
      <c r="O92">
        <f>J92/D92</f>
        <v>0.16316295288976426</v>
      </c>
      <c r="P92">
        <f t="shared" ref="P92" si="153">LOG10(O92)</f>
        <v>-0.78737844351107389</v>
      </c>
      <c r="R92" s="4">
        <f>_xlfn.T.DIST.RT(E92*(G92-0.2),F92)</f>
        <v>0.83765286187468457</v>
      </c>
      <c r="S92">
        <f>R92*M92</f>
        <v>1.8630187647250049</v>
      </c>
      <c r="T92">
        <f>(1-R92)*P92</f>
        <v>-0.12782863692558818</v>
      </c>
      <c r="U92" s="2">
        <f>_xlfn.T.DIST.RT(E92*(G92-0.4),F92)</f>
        <v>0.99999641542371942</v>
      </c>
      <c r="V92">
        <f>U92*M92</f>
        <v>2.2240860998465055</v>
      </c>
      <c r="W92">
        <f>(1-U92)*P92</f>
        <v>-2.8224180924495838E-6</v>
      </c>
      <c r="X92" s="2">
        <f>_xlfn.T.DIST.RT(E92*(G92-0.8),F92)</f>
        <v>1</v>
      </c>
      <c r="Y92">
        <f>X92*M92</f>
        <v>2.2240940722813627</v>
      </c>
      <c r="Z92">
        <f>(1-X92)*P92</f>
        <v>0</v>
      </c>
      <c r="AB92">
        <f>C92*M92</f>
        <v>1.1120470361406813E-2</v>
      </c>
      <c r="AC92">
        <f>D92*P92</f>
        <v>-0.78344155129351856</v>
      </c>
      <c r="AD92">
        <f>(C92+0.01)*M92</f>
        <v>3.3361411084220437E-2</v>
      </c>
      <c r="AE92">
        <f>(D92-0.01)*P92</f>
        <v>-0.77556776685840778</v>
      </c>
      <c r="AF92">
        <f>(C92+0.05)*M92</f>
        <v>0.12232517397547495</v>
      </c>
      <c r="AG92">
        <f>(D92-0.05)*P92</f>
        <v>-0.74407262911796479</v>
      </c>
      <c r="AH92">
        <f>(C92+0.1)*M92</f>
        <v>0.23352987758954311</v>
      </c>
      <c r="AI92">
        <f>(D92-0.1)*P92</f>
        <v>-0.70470370694241113</v>
      </c>
      <c r="AK92">
        <f t="shared" ref="AK92" si="154">S92+T92</f>
        <v>1.7351901277994168</v>
      </c>
      <c r="AL92">
        <f t="shared" ref="AL92" si="155">V92+W92</f>
        <v>2.2240832774284129</v>
      </c>
      <c r="AM92">
        <f t="shared" ref="AM92" si="156">Y92+Z92</f>
        <v>2.2240940722813627</v>
      </c>
      <c r="AN92">
        <f t="shared" ref="AN92" si="157">AB92+AC92</f>
        <v>-0.77232108093211171</v>
      </c>
      <c r="AO92">
        <f t="shared" ref="AO92" si="158">AD92+AE92</f>
        <v>-0.74220635577418737</v>
      </c>
      <c r="AP92">
        <f t="shared" ref="AP92" si="159">AF92+AG92</f>
        <v>-0.62174745514248986</v>
      </c>
      <c r="AQ92">
        <f t="shared" ref="AQ92" si="160">AH92+AI92</f>
        <v>-0.471173829352868</v>
      </c>
    </row>
    <row r="93" spans="1:43" x14ac:dyDescent="0.3">
      <c r="A93">
        <v>320</v>
      </c>
      <c r="B93">
        <v>0.2</v>
      </c>
      <c r="C93">
        <v>2E-3</v>
      </c>
      <c r="D93">
        <f t="shared" si="123"/>
        <v>0.998</v>
      </c>
      <c r="E93">
        <f t="shared" si="120"/>
        <v>17.888543819998318</v>
      </c>
      <c r="F93">
        <f t="shared" si="121"/>
        <v>319</v>
      </c>
      <c r="G93">
        <f t="shared" si="130"/>
        <v>0.16207267651564755</v>
      </c>
      <c r="H93">
        <f t="shared" si="122"/>
        <v>-3.792732348435246E-2</v>
      </c>
      <c r="I93" s="2">
        <f>_xlfn.T.DIST.RT(E93*H93,F93)</f>
        <v>0.75101547817176528</v>
      </c>
      <c r="J93">
        <f>1-I93</f>
        <v>0.24898452182823472</v>
      </c>
      <c r="L93">
        <f>I93/C93</f>
        <v>375.50773908588263</v>
      </c>
      <c r="M93">
        <f t="shared" si="131"/>
        <v>2.5746188920929396</v>
      </c>
      <c r="O93">
        <f>J93/D93</f>
        <v>0.24948348880584642</v>
      </c>
      <c r="P93">
        <f t="shared" si="132"/>
        <v>-0.60295819135437823</v>
      </c>
      <c r="R93" s="4">
        <f>_xlfn.T.DIST.RT(E93*(G93-0.2),F93)</f>
        <v>0.75101547817176528</v>
      </c>
      <c r="S93">
        <f>R93*M93</f>
        <v>1.9335786383552396</v>
      </c>
      <c r="T93">
        <f>(1-R93)*P93</f>
        <v>-0.15012725695678711</v>
      </c>
      <c r="U93" s="2">
        <f>_xlfn.T.DIST.RT(E93*(G93-0.4),F93)</f>
        <v>0.99998631222793655</v>
      </c>
      <c r="V93">
        <f>U93*M93</f>
        <v>2.5745836512963942</v>
      </c>
      <c r="W93">
        <f>(1-U93)*P93</f>
        <v>-8.2531542870507109E-6</v>
      </c>
      <c r="X93" s="2">
        <f>_xlfn.T.DIST.RT(E93*(G93-0.8),F93)</f>
        <v>1</v>
      </c>
      <c r="Y93">
        <f>X93*M93</f>
        <v>2.5746188920929396</v>
      </c>
      <c r="Z93">
        <f>(1-X93)*P93</f>
        <v>0</v>
      </c>
      <c r="AB93">
        <f>C93*M93</f>
        <v>5.1492377841858795E-3</v>
      </c>
      <c r="AC93">
        <f>D93*P93</f>
        <v>-0.6017522749716695</v>
      </c>
      <c r="AD93">
        <f>(C93+0.01)*M93</f>
        <v>3.0895426705115275E-2</v>
      </c>
      <c r="AE93">
        <f>(D93-0.01)*P93</f>
        <v>-0.59572269305812564</v>
      </c>
      <c r="AF93">
        <f>(C93+0.05)*M93</f>
        <v>0.13388018238883287</v>
      </c>
      <c r="AG93">
        <f>(D93-0.05)*P93</f>
        <v>-0.57160436540395054</v>
      </c>
      <c r="AH93">
        <f>(C93+0.1)*M93</f>
        <v>0.26261112699347988</v>
      </c>
      <c r="AI93">
        <f>(D93-0.1)*P93</f>
        <v>-0.5414564558362317</v>
      </c>
      <c r="AK93">
        <f t="shared" si="124"/>
        <v>1.7834513813984525</v>
      </c>
      <c r="AL93">
        <f t="shared" si="125"/>
        <v>2.5745753981421071</v>
      </c>
      <c r="AM93">
        <f t="shared" si="126"/>
        <v>2.5746188920929396</v>
      </c>
      <c r="AN93">
        <f t="shared" si="127"/>
        <v>-0.59660303718748364</v>
      </c>
      <c r="AO93">
        <f t="shared" si="128"/>
        <v>-0.56482726635301039</v>
      </c>
      <c r="AP93">
        <f t="shared" si="129"/>
        <v>-0.43772418301511767</v>
      </c>
      <c r="AQ93">
        <f t="shared" si="88"/>
        <v>-0.27884532884275182</v>
      </c>
    </row>
    <row r="94" spans="1:43" x14ac:dyDescent="0.3">
      <c r="A94">
        <v>320</v>
      </c>
      <c r="B94">
        <v>0.2</v>
      </c>
      <c r="C94">
        <v>1.959096E-3</v>
      </c>
      <c r="D94">
        <f t="shared" si="123"/>
        <v>0.99804090400000001</v>
      </c>
      <c r="E94">
        <f t="shared" si="120"/>
        <v>17.888543819998318</v>
      </c>
      <c r="F94">
        <f t="shared" si="121"/>
        <v>319</v>
      </c>
      <c r="G94">
        <v>0.162444187736659</v>
      </c>
      <c r="H94">
        <f t="shared" si="122"/>
        <v>-3.755581226334101E-2</v>
      </c>
      <c r="I94" s="2">
        <v>0.74890734743971799</v>
      </c>
      <c r="J94">
        <f>1-I94</f>
        <v>0.25109265256028201</v>
      </c>
      <c r="L94">
        <f>I94/C94</f>
        <v>382.27189858981797</v>
      </c>
      <c r="M94">
        <f>LOG10(L94)</f>
        <v>2.582372373520093</v>
      </c>
      <c r="O94">
        <f>J94/D94</f>
        <v>0.25158553277119194</v>
      </c>
      <c r="P94">
        <f>LOG10(O94)</f>
        <v>-0.59931433627242403</v>
      </c>
      <c r="R94" s="4">
        <f>_xlfn.T.DIST.RT(E94*(G94-0.2),F94)</f>
        <v>0.74890734743971699</v>
      </c>
      <c r="S94">
        <f>R94*M94</f>
        <v>1.9339576443545388</v>
      </c>
      <c r="T94">
        <f>(1-R94)*P94</f>
        <v>-0.1504834264120484</v>
      </c>
      <c r="U94" s="2">
        <f>_xlfn.T.DIST.RT(E94*(G94-0.4),F94)</f>
        <v>0.99998592231121919</v>
      </c>
      <c r="V94">
        <f>U94*M94</f>
        <v>2.5823360196855023</v>
      </c>
      <c r="W94">
        <f>(1-U94)*P94</f>
        <v>-8.4369607079217308E-6</v>
      </c>
      <c r="X94" s="2">
        <f>_xlfn.T.DIST.RT(E94*(G94-0.8),F94)</f>
        <v>1</v>
      </c>
      <c r="Y94">
        <f>X94*M94</f>
        <v>2.582372373520093</v>
      </c>
      <c r="Z94">
        <f>(1-X94)*P94</f>
        <v>0</v>
      </c>
      <c r="AB94">
        <f>C94*M94</f>
        <v>5.0591153874737201E-3</v>
      </c>
      <c r="AC94">
        <f>D94*P94</f>
        <v>-0.59814022195349004</v>
      </c>
      <c r="AD94">
        <f>(C94+0.01)*M94</f>
        <v>3.088283912267465E-2</v>
      </c>
      <c r="AE94">
        <f>(D94-0.01)*P94</f>
        <v>-0.59214707859076587</v>
      </c>
      <c r="AF94">
        <f>(C94+0.05)*M94</f>
        <v>0.13417773406347838</v>
      </c>
      <c r="AG94">
        <f>(D94-0.05)*P94</f>
        <v>-0.56817450513986889</v>
      </c>
      <c r="AH94">
        <f>(C94+0.1)*M94</f>
        <v>0.26329635273948304</v>
      </c>
      <c r="AI94">
        <f>(D94-0.1)*P94</f>
        <v>-0.53820878832624763</v>
      </c>
      <c r="AK94">
        <f t="shared" si="124"/>
        <v>1.7834742179424903</v>
      </c>
      <c r="AL94">
        <f t="shared" si="125"/>
        <v>2.5823275827247945</v>
      </c>
      <c r="AM94">
        <f t="shared" si="126"/>
        <v>2.582372373520093</v>
      </c>
      <c r="AN94">
        <f t="shared" si="127"/>
        <v>-0.59308110656601631</v>
      </c>
      <c r="AO94">
        <f t="shared" si="128"/>
        <v>-0.56126423946809123</v>
      </c>
      <c r="AP94">
        <f t="shared" si="129"/>
        <v>-0.43399677107639051</v>
      </c>
      <c r="AQ94">
        <f t="shared" si="88"/>
        <v>-0.27491243558676459</v>
      </c>
    </row>
    <row r="95" spans="1:43" x14ac:dyDescent="0.3">
      <c r="A95">
        <v>320</v>
      </c>
      <c r="B95">
        <v>0.2</v>
      </c>
      <c r="C95">
        <v>1E-3</v>
      </c>
      <c r="D95">
        <f t="shared" si="123"/>
        <v>0.999</v>
      </c>
      <c r="E95">
        <f t="shared" si="120"/>
        <v>17.888543819998318</v>
      </c>
      <c r="F95">
        <f t="shared" si="121"/>
        <v>319</v>
      </c>
      <c r="G95">
        <f t="shared" ref="G95:G109" si="161">-_xlfn.T.INV(C95,F95)/E95</f>
        <v>0.17418835021953483</v>
      </c>
      <c r="H95">
        <f t="shared" si="122"/>
        <v>-2.5811649780465185E-2</v>
      </c>
      <c r="I95" s="2">
        <f>_xlfn.T.DIST.RT(E95*H95,F95)</f>
        <v>0.67770618128167559</v>
      </c>
      <c r="J95">
        <f>1-I95</f>
        <v>0.32229381871832441</v>
      </c>
      <c r="L95">
        <f>I95/C95</f>
        <v>677.70618128167553</v>
      </c>
      <c r="M95">
        <f t="shared" ref="M95:M109" si="162">LOG10(L95)</f>
        <v>2.8310414468090976</v>
      </c>
      <c r="O95">
        <f>J95/D95</f>
        <v>0.32261643515347788</v>
      </c>
      <c r="P95">
        <f t="shared" ref="P95:P109" si="163">LOG10(O95)</f>
        <v>-0.49131351197913231</v>
      </c>
      <c r="R95" s="4">
        <f>_xlfn.T.DIST.RT(E95*(G95-0.2),F95)</f>
        <v>0.67770618128167559</v>
      </c>
      <c r="S95">
        <f>R95*M95</f>
        <v>1.9186142879671435</v>
      </c>
      <c r="T95">
        <f>(1-R95)*P95</f>
        <v>-0.15834730796366578</v>
      </c>
      <c r="U95" s="2">
        <f>_xlfn.T.DIST.RT(E95*(G95-0.4),F95)</f>
        <v>0.99996640997017938</v>
      </c>
      <c r="V95">
        <f>U95*M95</f>
        <v>2.830946352042476</v>
      </c>
      <c r="W95">
        <f>(1-U95)*P95</f>
        <v>-1.6503235518651715E-5</v>
      </c>
      <c r="X95" s="2">
        <f>_xlfn.T.DIST.RT(E95*(G95-0.8),F95)</f>
        <v>1</v>
      </c>
      <c r="Y95">
        <f>X95*M95</f>
        <v>2.8310414468090976</v>
      </c>
      <c r="Z95">
        <f>(1-X95)*P95</f>
        <v>0</v>
      </c>
      <c r="AB95">
        <f>C95*M95</f>
        <v>2.8310414468090978E-3</v>
      </c>
      <c r="AC95">
        <f>D95*P95</f>
        <v>-0.49082219846715319</v>
      </c>
      <c r="AD95">
        <f>(C95+0.01)*M95</f>
        <v>3.1141455914900071E-2</v>
      </c>
      <c r="AE95">
        <f>(D95-0.01)*P95</f>
        <v>-0.48590906334736184</v>
      </c>
      <c r="AF95">
        <f>(C95+0.05)*M95</f>
        <v>0.14438311378726398</v>
      </c>
      <c r="AG95">
        <f>(D95-0.05)*P95</f>
        <v>-0.46625652286819652</v>
      </c>
      <c r="AH95">
        <f>(C95+0.1)*M95</f>
        <v>0.2859351861277189</v>
      </c>
      <c r="AI95">
        <f>(D95-0.1)*P95</f>
        <v>-0.44169084726923996</v>
      </c>
      <c r="AK95">
        <f t="shared" si="124"/>
        <v>1.7602669800034778</v>
      </c>
      <c r="AL95">
        <f t="shared" si="125"/>
        <v>2.8309298488069574</v>
      </c>
      <c r="AM95">
        <f t="shared" si="126"/>
        <v>2.8310414468090976</v>
      </c>
      <c r="AN95">
        <f t="shared" si="127"/>
        <v>-0.48799115702034407</v>
      </c>
      <c r="AO95">
        <f t="shared" si="128"/>
        <v>-0.45476760743246175</v>
      </c>
      <c r="AP95">
        <f t="shared" si="129"/>
        <v>-0.32187340908093254</v>
      </c>
      <c r="AQ95">
        <f t="shared" si="88"/>
        <v>-0.15575566114152106</v>
      </c>
    </row>
    <row r="96" spans="1:43" x14ac:dyDescent="0.3">
      <c r="A96">
        <v>320</v>
      </c>
      <c r="B96">
        <v>0.2</v>
      </c>
      <c r="C96">
        <v>1E-4</v>
      </c>
      <c r="D96">
        <f t="shared" si="123"/>
        <v>0.99990000000000001</v>
      </c>
      <c r="E96">
        <f t="shared" si="120"/>
        <v>17.888543819998318</v>
      </c>
      <c r="F96">
        <f t="shared" si="121"/>
        <v>319</v>
      </c>
      <c r="G96">
        <f t="shared" si="161"/>
        <v>0.21034110465245545</v>
      </c>
      <c r="H96">
        <f t="shared" si="122"/>
        <v>1.0341104652455441E-2</v>
      </c>
      <c r="I96" s="2">
        <f>_xlfn.T.DIST.RT(E96*H96,F96)</f>
        <v>0.42667827407819658</v>
      </c>
      <c r="J96">
        <f>1-I96</f>
        <v>0.57332172592180342</v>
      </c>
      <c r="L96">
        <f>I96/C96</f>
        <v>4266.7827407819659</v>
      </c>
      <c r="M96">
        <f t="shared" si="162"/>
        <v>3.6301005296927547</v>
      </c>
      <c r="O96">
        <f>J96/D96</f>
        <v>0.57337906382818626</v>
      </c>
      <c r="P96">
        <f t="shared" si="163"/>
        <v>-0.2415581687838288</v>
      </c>
      <c r="R96" s="4">
        <f>_xlfn.T.DIST.RT(E96*(G96-0.2),F96)</f>
        <v>0.42667827407819658</v>
      </c>
      <c r="S96">
        <f>R96*M96</f>
        <v>1.5488850287396518</v>
      </c>
      <c r="T96">
        <f>(1-R96)*P96</f>
        <v>-0.13849054623765503</v>
      </c>
      <c r="U96" s="2">
        <f>_xlfn.T.DIST.RT(E96*(G96-0.4),F96)</f>
        <v>0.99961039181867295</v>
      </c>
      <c r="V96">
        <f>U96*M96</f>
        <v>3.6286862128273465</v>
      </c>
      <c r="W96">
        <f>(1-U96)*P96</f>
        <v>-9.4113038824560169E-5</v>
      </c>
      <c r="X96" s="2">
        <f>_xlfn.T.DIST.RT(E96*(G96-0.8),F96)</f>
        <v>1</v>
      </c>
      <c r="Y96">
        <f>X96*M96</f>
        <v>3.6301005296927547</v>
      </c>
      <c r="Z96">
        <f>(1-X96)*P96</f>
        <v>0</v>
      </c>
      <c r="AB96">
        <f>C96*M96</f>
        <v>3.6301005296927549E-4</v>
      </c>
      <c r="AC96">
        <f>D96*P96</f>
        <v>-0.24153401296695043</v>
      </c>
      <c r="AD96">
        <f>(C96+0.01)*M96</f>
        <v>3.6664015349896821E-2</v>
      </c>
      <c r="AE96">
        <f>(D96-0.01)*P96</f>
        <v>-0.23911843127911211</v>
      </c>
      <c r="AF96">
        <f>(C96+0.05)*M96</f>
        <v>0.18186803653760703</v>
      </c>
      <c r="AG96">
        <f>(D96-0.05)*P96</f>
        <v>-0.22945610452775897</v>
      </c>
      <c r="AH96">
        <f>(C96+0.1)*M96</f>
        <v>0.36337306302224476</v>
      </c>
      <c r="AI96">
        <f>(D96-0.1)*P96</f>
        <v>-0.21737819608856754</v>
      </c>
      <c r="AK96">
        <f t="shared" si="124"/>
        <v>1.4103944825019967</v>
      </c>
      <c r="AL96">
        <f t="shared" si="125"/>
        <v>3.6285920997885222</v>
      </c>
      <c r="AM96">
        <f t="shared" si="126"/>
        <v>3.6301005296927547</v>
      </c>
      <c r="AN96">
        <f t="shared" si="127"/>
        <v>-0.24117100291398116</v>
      </c>
      <c r="AO96">
        <f t="shared" si="128"/>
        <v>-0.20245441592921529</v>
      </c>
      <c r="AP96">
        <f t="shared" si="129"/>
        <v>-4.7588067990151944E-2</v>
      </c>
      <c r="AQ96">
        <f t="shared" si="88"/>
        <v>0.14599486693367722</v>
      </c>
    </row>
    <row r="97" spans="1:43" x14ac:dyDescent="0.3">
      <c r="A97">
        <v>320</v>
      </c>
      <c r="B97">
        <v>0.2</v>
      </c>
      <c r="C97">
        <v>1.0000000000000001E-5</v>
      </c>
      <c r="D97">
        <f t="shared" si="123"/>
        <v>0.99999000000000005</v>
      </c>
      <c r="E97">
        <f t="shared" si="120"/>
        <v>17.888543819998318</v>
      </c>
      <c r="F97">
        <f t="shared" si="121"/>
        <v>319</v>
      </c>
      <c r="G97">
        <f t="shared" si="161"/>
        <v>0.24204809577701183</v>
      </c>
      <c r="H97">
        <f t="shared" si="122"/>
        <v>4.2048095777011824E-2</v>
      </c>
      <c r="I97" s="2">
        <f>_xlfn.T.DIST.RT(E97*H97,F97)</f>
        <v>0.22624896850658205</v>
      </c>
      <c r="J97">
        <f>1-I97</f>
        <v>0.77375103149341795</v>
      </c>
      <c r="L97">
        <f>I97/C97</f>
        <v>22624.896850658202</v>
      </c>
      <c r="M97">
        <f t="shared" si="162"/>
        <v>4.3545866078864313</v>
      </c>
      <c r="O97">
        <f>J97/D97</f>
        <v>0.77375876908110874</v>
      </c>
      <c r="P97">
        <f t="shared" si="163"/>
        <v>-0.11139441604361038</v>
      </c>
      <c r="R97" s="4">
        <f>_xlfn.T.DIST.RT(E97*(G97-0.2),F97)</f>
        <v>0.22624896850658205</v>
      </c>
      <c r="S97">
        <f>R97*M97</f>
        <v>0.98522072830688112</v>
      </c>
      <c r="T97">
        <f>(1-R97)*P97</f>
        <v>-8.6191544316350469E-2</v>
      </c>
      <c r="U97" s="2">
        <f>_xlfn.T.DIST.RT(E97*(G97-0.4),F97)</f>
        <v>0.99749111935033186</v>
      </c>
      <c r="V97">
        <f>U97*M97</f>
        <v>4.3436614698086009</v>
      </c>
      <c r="W97">
        <f>(1-U97)*P97</f>
        <v>-2.7947529489289667E-4</v>
      </c>
      <c r="X97" s="2">
        <f>_xlfn.T.DIST.RT(E97*(G97-0.8),F97)</f>
        <v>1</v>
      </c>
      <c r="Y97">
        <f>X97*M97</f>
        <v>4.3545866078864313</v>
      </c>
      <c r="Z97">
        <f>(1-X97)*P97</f>
        <v>0</v>
      </c>
      <c r="AB97">
        <f>C97*M97</f>
        <v>4.3545866078864317E-5</v>
      </c>
      <c r="AC97">
        <f>D97*P97</f>
        <v>-0.11139330209944995</v>
      </c>
      <c r="AD97">
        <f>(C97+0.01)*M97</f>
        <v>4.3589411944943174E-2</v>
      </c>
      <c r="AE97">
        <f>(D97-0.01)*P97</f>
        <v>-0.11027935793901383</v>
      </c>
      <c r="AF97">
        <f>(C97+0.05)*M97</f>
        <v>0.21777287626040046</v>
      </c>
      <c r="AG97">
        <f>(D97-0.05)*P97</f>
        <v>-0.10582358129726942</v>
      </c>
      <c r="AH97">
        <f>(C97+0.1)*M97</f>
        <v>0.435502206654722</v>
      </c>
      <c r="AI97">
        <f>(D97-0.1)*P97</f>
        <v>-0.10025386049508891</v>
      </c>
      <c r="AK97">
        <f t="shared" si="124"/>
        <v>0.89902918399053067</v>
      </c>
      <c r="AL97">
        <f t="shared" si="125"/>
        <v>4.3433819945137078</v>
      </c>
      <c r="AM97">
        <f t="shared" si="126"/>
        <v>4.3545866078864313</v>
      </c>
      <c r="AN97">
        <f t="shared" si="127"/>
        <v>-0.11134975623337108</v>
      </c>
      <c r="AO97">
        <f t="shared" si="128"/>
        <v>-6.668994599407066E-2</v>
      </c>
      <c r="AP97">
        <f t="shared" si="129"/>
        <v>0.11194929496313104</v>
      </c>
      <c r="AQ97">
        <f t="shared" si="88"/>
        <v>0.33524834615963306</v>
      </c>
    </row>
    <row r="98" spans="1:43" x14ac:dyDescent="0.3">
      <c r="A98">
        <v>320</v>
      </c>
      <c r="B98">
        <v>0.2</v>
      </c>
      <c r="C98">
        <v>9.9999999999999995E-7</v>
      </c>
      <c r="D98">
        <f t="shared" si="123"/>
        <v>0.99999899999999997</v>
      </c>
      <c r="E98">
        <f t="shared" si="120"/>
        <v>17.888543819998318</v>
      </c>
      <c r="F98">
        <f t="shared" si="121"/>
        <v>319</v>
      </c>
      <c r="G98">
        <f t="shared" si="161"/>
        <v>0.27071842890120579</v>
      </c>
      <c r="H98">
        <f t="shared" si="122"/>
        <v>7.0718428901205777E-2</v>
      </c>
      <c r="I98" s="2">
        <f>_xlfn.T.DIST.RT(E98*H98,F98)</f>
        <v>0.10338841549006778</v>
      </c>
      <c r="J98">
        <f>1-I98</f>
        <v>0.89661158450993228</v>
      </c>
      <c r="L98">
        <f>I98/C98</f>
        <v>103388.41549006778</v>
      </c>
      <c r="M98">
        <f t="shared" si="162"/>
        <v>5.0144718794678713</v>
      </c>
      <c r="O98">
        <f>J98/D98</f>
        <v>0.89661248112241343</v>
      </c>
      <c r="P98">
        <f t="shared" si="163"/>
        <v>-4.7395219914946385E-2</v>
      </c>
      <c r="R98" s="4">
        <f>_xlfn.T.DIST.RT(E98*(G98-0.2),F98)</f>
        <v>0.10338841549006778</v>
      </c>
      <c r="S98">
        <f>R98*M98</f>
        <v>0.51843830213768538</v>
      </c>
      <c r="T98">
        <f>(1-R98)*P98</f>
        <v>-4.2495103226136775E-2</v>
      </c>
      <c r="U98" s="2">
        <f>_xlfn.T.DIST.RT(E98*(G98-0.4),F98)</f>
        <v>0.98931127152438325</v>
      </c>
      <c r="V98">
        <f>U98*M98</f>
        <v>4.960873551099624</v>
      </c>
      <c r="W98">
        <f>(1-U98)*P98</f>
        <v>-5.0659463671300542E-4</v>
      </c>
      <c r="X98" s="2">
        <f>_xlfn.T.DIST.RT(E98*(G98-0.8),F98)</f>
        <v>1</v>
      </c>
      <c r="Y98">
        <f>X98*M98</f>
        <v>5.0144718794678713</v>
      </c>
      <c r="Z98">
        <f>(1-X98)*P98</f>
        <v>0</v>
      </c>
      <c r="AB98">
        <f>C98*M98</f>
        <v>5.0144718794678707E-6</v>
      </c>
      <c r="AC98">
        <f>D98*P98</f>
        <v>-4.7395172519726469E-2</v>
      </c>
      <c r="AD98">
        <f>(C98+0.01)*M98</f>
        <v>5.014973326655818E-2</v>
      </c>
      <c r="AE98">
        <f>(D98-0.01)*P98</f>
        <v>-4.6921220320577002E-2</v>
      </c>
      <c r="AF98">
        <f>(C98+0.05)*M98</f>
        <v>0.25072860844527306</v>
      </c>
      <c r="AG98">
        <f>(D98-0.05)*P98</f>
        <v>-4.5025411523979146E-2</v>
      </c>
      <c r="AH98">
        <f>(C98+0.1)*M98</f>
        <v>0.50145220241866661</v>
      </c>
      <c r="AI98">
        <f>(D98-0.1)*P98</f>
        <v>-4.265565052823183E-2</v>
      </c>
      <c r="AK98">
        <f t="shared" si="124"/>
        <v>0.47594319891154863</v>
      </c>
      <c r="AL98">
        <f t="shared" si="125"/>
        <v>4.9603669564629111</v>
      </c>
      <c r="AM98">
        <f t="shared" si="126"/>
        <v>5.0144718794678713</v>
      </c>
      <c r="AN98">
        <f t="shared" si="127"/>
        <v>-4.7390158047846999E-2</v>
      </c>
      <c r="AO98">
        <f t="shared" si="128"/>
        <v>3.2285129459811782E-3</v>
      </c>
      <c r="AP98">
        <f t="shared" si="129"/>
        <v>0.20570319692129391</v>
      </c>
      <c r="AQ98">
        <f t="shared" si="88"/>
        <v>0.45879655189043478</v>
      </c>
    </row>
    <row r="99" spans="1:43" x14ac:dyDescent="0.3">
      <c r="A99">
        <v>320</v>
      </c>
      <c r="B99">
        <v>0.2</v>
      </c>
      <c r="C99">
        <v>9.9999999999999995E-8</v>
      </c>
      <c r="D99">
        <f t="shared" si="123"/>
        <v>0.99999990000000005</v>
      </c>
      <c r="E99">
        <f t="shared" si="120"/>
        <v>17.888543819998318</v>
      </c>
      <c r="F99">
        <f t="shared" si="121"/>
        <v>319</v>
      </c>
      <c r="G99">
        <f t="shared" si="161"/>
        <v>0.29716069360063585</v>
      </c>
      <c r="H99">
        <f t="shared" si="122"/>
        <v>9.7160693600635839E-2</v>
      </c>
      <c r="I99" s="2">
        <f>_xlfn.T.DIST.RT(E99*H99,F99)</f>
        <v>4.1582308317110205E-2</v>
      </c>
      <c r="J99">
        <f>1-I99</f>
        <v>0.95841769168288982</v>
      </c>
      <c r="L99">
        <f>I99/C99</f>
        <v>415823.08317110204</v>
      </c>
      <c r="M99">
        <f t="shared" si="162"/>
        <v>5.6189085942200254</v>
      </c>
      <c r="O99">
        <f>J99/D99</f>
        <v>0.95841778752466855</v>
      </c>
      <c r="P99">
        <f t="shared" si="163"/>
        <v>-1.8445134695869364E-2</v>
      </c>
      <c r="R99" s="4">
        <f>_xlfn.T.DIST.RT(E99*(G99-0.2),F99)</f>
        <v>4.1582308317110205E-2</v>
      </c>
      <c r="S99">
        <f>R99*M99</f>
        <v>0.23364718957051736</v>
      </c>
      <c r="T99">
        <f>(1-R99)*P99</f>
        <v>-1.7678143417995097E-2</v>
      </c>
      <c r="U99" s="2">
        <f>_xlfn.T.DIST.RT(E99*(G99-0.4),F99)</f>
        <v>0.96662532161855996</v>
      </c>
      <c r="V99">
        <f>U99*M99</f>
        <v>5.4313793270332225</v>
      </c>
      <c r="W99">
        <f>(1-U99)*P99</f>
        <v>-6.1560043817698081E-4</v>
      </c>
      <c r="X99" s="2">
        <f>_xlfn.T.DIST.RT(E99*(G99-0.8),F99)</f>
        <v>1</v>
      </c>
      <c r="Y99">
        <f>X99*M99</f>
        <v>5.6189085942200254</v>
      </c>
      <c r="Z99">
        <f>(1-X99)*P99</f>
        <v>0</v>
      </c>
      <c r="AB99">
        <f>C99*M99</f>
        <v>5.6189085942200256E-7</v>
      </c>
      <c r="AC99">
        <f>D99*P99</f>
        <v>-1.8445132851355895E-2</v>
      </c>
      <c r="AD99">
        <f>(C99+0.01)*M99</f>
        <v>5.6189647833059672E-2</v>
      </c>
      <c r="AE99">
        <f>(D99-0.01)*P99</f>
        <v>-1.8260681504397202E-2</v>
      </c>
      <c r="AF99">
        <f>(C99+0.05)*M99</f>
        <v>0.28094599160186073</v>
      </c>
      <c r="AG99">
        <f>(D99-0.05)*P99</f>
        <v>-1.7522876116562426E-2</v>
      </c>
      <c r="AH99">
        <f>(C99+0.1)*M99</f>
        <v>0.56189142131286196</v>
      </c>
      <c r="AI99">
        <f>(D99-0.1)*P99</f>
        <v>-1.6600619381768961E-2</v>
      </c>
      <c r="AK99">
        <f t="shared" si="124"/>
        <v>0.21596904615252227</v>
      </c>
      <c r="AL99">
        <f t="shared" si="125"/>
        <v>5.4307637265950452</v>
      </c>
      <c r="AM99">
        <f t="shared" si="126"/>
        <v>5.6189085942200254</v>
      </c>
      <c r="AN99">
        <f t="shared" si="127"/>
        <v>-1.8444570960496474E-2</v>
      </c>
      <c r="AO99">
        <f t="shared" si="128"/>
        <v>3.7928966328662467E-2</v>
      </c>
      <c r="AP99">
        <f t="shared" si="129"/>
        <v>0.26342311548529829</v>
      </c>
      <c r="AQ99">
        <f t="shared" si="88"/>
        <v>0.54529080193109303</v>
      </c>
    </row>
    <row r="100" spans="1:43" x14ac:dyDescent="0.3">
      <c r="A100">
        <v>640</v>
      </c>
      <c r="B100">
        <v>0.2</v>
      </c>
      <c r="C100">
        <v>0.5</v>
      </c>
      <c r="D100">
        <f t="shared" si="123"/>
        <v>0.5</v>
      </c>
      <c r="E100">
        <f t="shared" si="120"/>
        <v>25.298221281347036</v>
      </c>
      <c r="F100">
        <f t="shared" si="121"/>
        <v>639</v>
      </c>
      <c r="G100">
        <f t="shared" si="161"/>
        <v>0</v>
      </c>
      <c r="H100">
        <f t="shared" si="122"/>
        <v>-0.2</v>
      </c>
      <c r="I100" s="2">
        <f>_xlfn.T.DIST.RT(E100*H100,F100)</f>
        <v>0.99999972513045843</v>
      </c>
      <c r="J100">
        <f>1-I100</f>
        <v>2.748695415721869E-7</v>
      </c>
      <c r="L100">
        <f>I100/C100</f>
        <v>1.9999994502609169</v>
      </c>
      <c r="M100">
        <f t="shared" si="162"/>
        <v>0.30102987628963962</v>
      </c>
      <c r="O100">
        <f>J100/D100</f>
        <v>5.4973908314437381E-7</v>
      </c>
      <c r="P100">
        <f t="shared" si="163"/>
        <v>-6.259843386209524</v>
      </c>
      <c r="R100" s="4">
        <f>_xlfn.T.DIST.RT(E100*(G100-0.2),F100)</f>
        <v>0.99999972513045843</v>
      </c>
      <c r="S100">
        <f>R100*M100</f>
        <v>0.30102979354569553</v>
      </c>
      <c r="T100">
        <f>(1-R100)*P100</f>
        <v>-1.7206402818810981E-6</v>
      </c>
      <c r="U100" s="2">
        <f>_xlfn.T.DIST.RT(E100*(G100-0.4),F100)</f>
        <v>1</v>
      </c>
      <c r="V100">
        <f>U100*M100</f>
        <v>0.30102987628963962</v>
      </c>
      <c r="W100">
        <f>(1-U100)*P100</f>
        <v>0</v>
      </c>
      <c r="X100" s="2">
        <f>_xlfn.T.DIST.RT(E100*(G100-0.8),F100)</f>
        <v>1</v>
      </c>
      <c r="Y100">
        <f>X100*M100</f>
        <v>0.30102987628963962</v>
      </c>
      <c r="Z100">
        <f>(1-X100)*P100</f>
        <v>0</v>
      </c>
      <c r="AB100">
        <f>C100*M100</f>
        <v>0.15051493814481981</v>
      </c>
      <c r="AC100">
        <f>D100*P100</f>
        <v>-3.129921693104762</v>
      </c>
      <c r="AD100">
        <f>(C100+0.01)*M100</f>
        <v>0.15352523690771622</v>
      </c>
      <c r="AE100">
        <f>(D100-0.01)*P100</f>
        <v>-3.0673232592426665</v>
      </c>
      <c r="AF100">
        <f>(C100+0.05)*M100</f>
        <v>0.16556643195930179</v>
      </c>
      <c r="AG100">
        <f>(D100-0.05)*P100</f>
        <v>-2.8169295237942857</v>
      </c>
      <c r="AH100">
        <f>(C100+0.1)*M100</f>
        <v>0.18061792577378377</v>
      </c>
      <c r="AI100">
        <f>(D100-0.1)*P100</f>
        <v>-2.5039373544838099</v>
      </c>
      <c r="AK100">
        <f t="shared" si="124"/>
        <v>0.30102807290541367</v>
      </c>
      <c r="AL100">
        <f t="shared" si="125"/>
        <v>0.30102987628963962</v>
      </c>
      <c r="AM100">
        <f t="shared" si="126"/>
        <v>0.30102987628963962</v>
      </c>
      <c r="AN100">
        <f t="shared" si="127"/>
        <v>-2.9794067549599421</v>
      </c>
      <c r="AO100">
        <f t="shared" si="128"/>
        <v>-2.9137980223349502</v>
      </c>
      <c r="AP100">
        <f t="shared" si="129"/>
        <v>-2.651363091834984</v>
      </c>
      <c r="AQ100">
        <f t="shared" si="88"/>
        <v>-2.3233194287100263</v>
      </c>
    </row>
    <row r="101" spans="1:43" x14ac:dyDescent="0.3">
      <c r="A101">
        <v>640</v>
      </c>
      <c r="B101">
        <v>0.2</v>
      </c>
      <c r="C101">
        <v>0.2</v>
      </c>
      <c r="D101">
        <f t="shared" si="123"/>
        <v>0.8</v>
      </c>
      <c r="E101">
        <f t="shared" si="120"/>
        <v>25.298221281347036</v>
      </c>
      <c r="F101">
        <f t="shared" si="121"/>
        <v>639</v>
      </c>
      <c r="G101">
        <f t="shared" si="161"/>
        <v>3.3290249588327332E-2</v>
      </c>
      <c r="H101">
        <f t="shared" si="122"/>
        <v>-0.16670975041167269</v>
      </c>
      <c r="I101" s="2">
        <f>_xlfn.T.DIST.RT(E101*H101,F101)</f>
        <v>0.99998586116703125</v>
      </c>
      <c r="J101">
        <f>1-I101</f>
        <v>1.4138832968746406E-5</v>
      </c>
      <c r="L101">
        <f>I101/C101</f>
        <v>4.9999293058351562</v>
      </c>
      <c r="M101">
        <f t="shared" si="162"/>
        <v>0.69896386387547038</v>
      </c>
      <c r="O101">
        <f>J101/D101</f>
        <v>1.7673541210933008E-5</v>
      </c>
      <c r="P101">
        <f t="shared" si="163"/>
        <v>-4.7526764230862524</v>
      </c>
      <c r="R101" s="4">
        <f>_xlfn.T.DIST.RT(E101*(G101-0.2),F101)</f>
        <v>0.99998586116703125</v>
      </c>
      <c r="S101">
        <f>R101*M101</f>
        <v>0.69895398134214781</v>
      </c>
      <c r="T101">
        <f>(1-R101)*P101</f>
        <v>-6.7197298100515654E-5</v>
      </c>
      <c r="U101" s="2">
        <f>_xlfn.T.DIST.RT(E101*(G101-0.4),F101)</f>
        <v>1</v>
      </c>
      <c r="V101">
        <f>U101*M101</f>
        <v>0.69896386387547038</v>
      </c>
      <c r="W101">
        <f>(1-U101)*P101</f>
        <v>0</v>
      </c>
      <c r="X101" s="2">
        <f>_xlfn.T.DIST.RT(E101*(G101-0.8),F101)</f>
        <v>1</v>
      </c>
      <c r="Y101">
        <f>X101*M101</f>
        <v>0.69896386387547038</v>
      </c>
      <c r="Z101">
        <f>(1-X101)*P101</f>
        <v>0</v>
      </c>
      <c r="AB101">
        <f>C101*M101</f>
        <v>0.13979277277509408</v>
      </c>
      <c r="AC101">
        <f>D101*P101</f>
        <v>-3.8021411384690023</v>
      </c>
      <c r="AD101">
        <f>(C101+0.01)*M101</f>
        <v>0.14678241141384879</v>
      </c>
      <c r="AE101">
        <f>(D101-0.01)*P101</f>
        <v>-3.7546143742381397</v>
      </c>
      <c r="AF101">
        <f>(C101+0.05)*M101</f>
        <v>0.1747409659688676</v>
      </c>
      <c r="AG101">
        <f>(D101-0.05)*P101</f>
        <v>-3.5645073173146891</v>
      </c>
      <c r="AH101">
        <f>(C101+0.1)*M101</f>
        <v>0.20968915916264114</v>
      </c>
      <c r="AI101">
        <f>(D101-0.1)*P101</f>
        <v>-3.3268734961603772</v>
      </c>
      <c r="AK101">
        <f t="shared" si="124"/>
        <v>0.69888678404404725</v>
      </c>
      <c r="AL101">
        <f t="shared" si="125"/>
        <v>0.69896386387547038</v>
      </c>
      <c r="AM101">
        <f t="shared" si="126"/>
        <v>0.69896386387547038</v>
      </c>
      <c r="AN101">
        <f t="shared" si="127"/>
        <v>-3.6623483656939082</v>
      </c>
      <c r="AO101">
        <f t="shared" si="128"/>
        <v>-3.607831962824291</v>
      </c>
      <c r="AP101">
        <f t="shared" si="129"/>
        <v>-3.3897663513458216</v>
      </c>
      <c r="AQ101">
        <f t="shared" si="88"/>
        <v>-3.1171843369977359</v>
      </c>
    </row>
    <row r="102" spans="1:43" x14ac:dyDescent="0.3">
      <c r="A102">
        <v>640</v>
      </c>
      <c r="B102">
        <v>0.2</v>
      </c>
      <c r="C102">
        <v>0.1</v>
      </c>
      <c r="D102">
        <f t="shared" si="123"/>
        <v>0.9</v>
      </c>
      <c r="E102">
        <f t="shared" si="120"/>
        <v>25.298221281347036</v>
      </c>
      <c r="F102">
        <f t="shared" si="121"/>
        <v>639</v>
      </c>
      <c r="G102">
        <f t="shared" si="161"/>
        <v>5.0710198523476635E-2</v>
      </c>
      <c r="H102">
        <f t="shared" si="122"/>
        <v>-0.14928980147652338</v>
      </c>
      <c r="I102" s="2">
        <f>_xlfn.T.DIST.RT(E102*H102,F102)</f>
        <v>0.99991314723296154</v>
      </c>
      <c r="J102">
        <f>1-I102</f>
        <v>8.68527670384589E-5</v>
      </c>
      <c r="L102">
        <f>I102/C102</f>
        <v>9.9991314723296156</v>
      </c>
      <c r="M102">
        <f t="shared" si="162"/>
        <v>0.99996227868441312</v>
      </c>
      <c r="O102">
        <f>J102/D102</f>
        <v>9.6503074487176553E-5</v>
      </c>
      <c r="P102">
        <f t="shared" si="163"/>
        <v>-4.0154588502671329</v>
      </c>
      <c r="R102" s="4">
        <f>_xlfn.T.DIST.RT(E102*(G102-0.2),F102)</f>
        <v>0.99991314723296154</v>
      </c>
      <c r="S102">
        <f>R102*M102</f>
        <v>0.9998754291935753</v>
      </c>
      <c r="T102">
        <f>(1-R102)*P102</f>
        <v>-3.4875371207476931E-4</v>
      </c>
      <c r="U102" s="2">
        <f>_xlfn.T.DIST.RT(E102*(G102-0.4),F102)</f>
        <v>1</v>
      </c>
      <c r="V102">
        <f>U102*M102</f>
        <v>0.99996227868441312</v>
      </c>
      <c r="W102">
        <f>(1-U102)*P102</f>
        <v>0</v>
      </c>
      <c r="X102" s="2">
        <f>_xlfn.T.DIST.RT(E102*(G102-0.8),F102)</f>
        <v>1</v>
      </c>
      <c r="Y102">
        <f>X102*M102</f>
        <v>0.99996227868441312</v>
      </c>
      <c r="Z102">
        <f>(1-X102)*P102</f>
        <v>0</v>
      </c>
      <c r="AB102">
        <f>C102*M102</f>
        <v>9.9996227868441312E-2</v>
      </c>
      <c r="AC102">
        <f>D102*P102</f>
        <v>-3.6139129652404196</v>
      </c>
      <c r="AD102">
        <f>(C102+0.01)*M102</f>
        <v>0.10999585065528544</v>
      </c>
      <c r="AE102">
        <f>(D102-0.01)*P102</f>
        <v>-3.5737583767377483</v>
      </c>
      <c r="AF102">
        <f>(C102+0.05)*M102</f>
        <v>0.149994341802662</v>
      </c>
      <c r="AG102">
        <f>(D102-0.05)*P102</f>
        <v>-3.4131400227270627</v>
      </c>
      <c r="AH102">
        <f>(C102+0.1)*M102</f>
        <v>0.19999245573688262</v>
      </c>
      <c r="AI102">
        <f>(D102-0.1)*P102</f>
        <v>-3.2123670802137063</v>
      </c>
      <c r="AK102">
        <f t="shared" si="124"/>
        <v>0.99952667548150054</v>
      </c>
      <c r="AL102">
        <f t="shared" si="125"/>
        <v>0.99996227868441312</v>
      </c>
      <c r="AM102">
        <f t="shared" si="126"/>
        <v>0.99996227868441312</v>
      </c>
      <c r="AN102">
        <f t="shared" si="127"/>
        <v>-3.5139167373719782</v>
      </c>
      <c r="AO102">
        <f t="shared" si="128"/>
        <v>-3.4637625260824629</v>
      </c>
      <c r="AP102">
        <f t="shared" si="129"/>
        <v>-3.2631456809244006</v>
      </c>
      <c r="AQ102">
        <f t="shared" si="88"/>
        <v>-3.0123746244768235</v>
      </c>
    </row>
    <row r="103" spans="1:43" x14ac:dyDescent="0.3">
      <c r="A103">
        <v>640</v>
      </c>
      <c r="B103">
        <v>0.2</v>
      </c>
      <c r="C103">
        <v>0.05</v>
      </c>
      <c r="D103">
        <f t="shared" si="123"/>
        <v>0.95</v>
      </c>
      <c r="E103">
        <f t="shared" si="120"/>
        <v>25.298221281347036</v>
      </c>
      <c r="F103">
        <f t="shared" si="121"/>
        <v>639</v>
      </c>
      <c r="G103">
        <f t="shared" si="161"/>
        <v>6.5112946313886172E-2</v>
      </c>
      <c r="H103">
        <f t="shared" si="122"/>
        <v>-0.13488705368611384</v>
      </c>
      <c r="I103" s="2">
        <f>_xlfn.T.DIST.RT(E103*H103,F103)</f>
        <v>0.99965770991733605</v>
      </c>
      <c r="J103">
        <f>1-I103</f>
        <v>3.4229008266395411E-4</v>
      </c>
      <c r="L103">
        <f>I103/C103</f>
        <v>19.993154198346719</v>
      </c>
      <c r="M103">
        <f t="shared" si="162"/>
        <v>1.3008813155225492</v>
      </c>
      <c r="O103">
        <f>J103/D103</f>
        <v>3.6030535017258331E-4</v>
      </c>
      <c r="P103">
        <f t="shared" si="163"/>
        <v>-3.4433292889926719</v>
      </c>
      <c r="R103" s="4">
        <f>_xlfn.T.DIST.RT(E103*(G103-0.2),F103)</f>
        <v>0.99965770991733605</v>
      </c>
      <c r="S103">
        <f>R103*M103</f>
        <v>1.3004360367495229</v>
      </c>
      <c r="T103">
        <f>(1-R103)*P103</f>
        <v>-1.178617466968516E-3</v>
      </c>
      <c r="U103" s="2">
        <f>_xlfn.T.DIST.RT(E103*(G103-0.4),F103)</f>
        <v>0.99999999999999989</v>
      </c>
      <c r="V103">
        <f>U103*M103</f>
        <v>1.3008813155225489</v>
      </c>
      <c r="W103">
        <f>(1-U103)*P103</f>
        <v>-3.8228634580058339E-16</v>
      </c>
      <c r="X103" s="2">
        <f>_xlfn.T.DIST.RT(E103*(G103-0.8),F103)</f>
        <v>1</v>
      </c>
      <c r="Y103">
        <f>X103*M103</f>
        <v>1.3008813155225492</v>
      </c>
      <c r="Z103">
        <f>(1-X103)*P103</f>
        <v>0</v>
      </c>
      <c r="AB103">
        <f>C103*M103</f>
        <v>6.5044065776127466E-2</v>
      </c>
      <c r="AC103">
        <f>D103*P103</f>
        <v>-3.2711628245430382</v>
      </c>
      <c r="AD103">
        <f>(C103+0.01)*M103</f>
        <v>7.8052878931352959E-2</v>
      </c>
      <c r="AE103">
        <f>(D103-0.01)*P103</f>
        <v>-3.2367295316531113</v>
      </c>
      <c r="AF103">
        <f>(C103+0.05)*M103</f>
        <v>0.13008813155225493</v>
      </c>
      <c r="AG103">
        <f>(D103-0.05)*P103</f>
        <v>-3.0989963600934045</v>
      </c>
      <c r="AH103">
        <f>(C103+0.1)*M103</f>
        <v>0.19513219732838241</v>
      </c>
      <c r="AI103">
        <f>(D103-0.1)*P103</f>
        <v>-2.9268298956437708</v>
      </c>
      <c r="AK103">
        <f t="shared" si="124"/>
        <v>1.2992574192825543</v>
      </c>
      <c r="AL103">
        <f t="shared" si="125"/>
        <v>1.3008813155225485</v>
      </c>
      <c r="AM103">
        <f t="shared" si="126"/>
        <v>1.3008813155225492</v>
      </c>
      <c r="AN103">
        <f t="shared" si="127"/>
        <v>-3.2061187587669107</v>
      </c>
      <c r="AO103">
        <f t="shared" si="128"/>
        <v>-3.1586766527217582</v>
      </c>
      <c r="AP103">
        <f t="shared" si="129"/>
        <v>-2.9689082285411494</v>
      </c>
      <c r="AQ103">
        <f t="shared" si="88"/>
        <v>-2.7316976983153882</v>
      </c>
    </row>
    <row r="104" spans="1:43" x14ac:dyDescent="0.3">
      <c r="A104">
        <v>640</v>
      </c>
      <c r="B104">
        <v>0.2</v>
      </c>
      <c r="C104">
        <v>0.02</v>
      </c>
      <c r="D104">
        <f t="shared" si="123"/>
        <v>0.98</v>
      </c>
      <c r="E104">
        <f t="shared" ref="E104:E131" si="164">SQRT(A104)</f>
        <v>25.298221281347036</v>
      </c>
      <c r="F104">
        <f t="shared" ref="F104:F131" si="165">A104-1</f>
        <v>639</v>
      </c>
      <c r="G104">
        <f t="shared" si="161"/>
        <v>8.1347610576113005E-2</v>
      </c>
      <c r="H104">
        <f t="shared" ref="H104:H131" si="166">G104-B104</f>
        <v>-0.11865238942388701</v>
      </c>
      <c r="I104" s="2">
        <f>_xlfn.T.DIST.RT(E104*H104,F104)</f>
        <v>0.99860522466105595</v>
      </c>
      <c r="J104">
        <f>1-I104</f>
        <v>1.3947753389440543E-3</v>
      </c>
      <c r="L104">
        <f>I104/C104</f>
        <v>49.930261233052796</v>
      </c>
      <c r="M104">
        <f t="shared" si="162"/>
        <v>1.6983638382717436</v>
      </c>
      <c r="O104">
        <f>J104/D104</f>
        <v>1.4232401417796471E-3</v>
      </c>
      <c r="P104">
        <f t="shared" si="163"/>
        <v>-2.8467218156917378</v>
      </c>
      <c r="R104" s="4">
        <f>_xlfn.T.DIST.RT(E104*(G104-0.2),F104)</f>
        <v>0.99860522466105595</v>
      </c>
      <c r="S104">
        <f>R104*M104</f>
        <v>1.6959950022735679</v>
      </c>
      <c r="T104">
        <f>(1-R104)*P104</f>
        <v>-3.9705373853608774E-3</v>
      </c>
      <c r="U104" s="2">
        <f>_xlfn.T.DIST.RT(E104*(G104-0.4),F104)</f>
        <v>0.99999999999999811</v>
      </c>
      <c r="V104">
        <f>U104*M104</f>
        <v>1.6983638382717405</v>
      </c>
      <c r="W104">
        <f>(1-U104)*P104</f>
        <v>-5.3728433776222874E-15</v>
      </c>
      <c r="X104" s="2">
        <f>_xlfn.T.DIST.RT(E104*(G104-0.8),F104)</f>
        <v>1</v>
      </c>
      <c r="Y104">
        <f>X104*M104</f>
        <v>1.6983638382717436</v>
      </c>
      <c r="Z104">
        <f>(1-X104)*P104</f>
        <v>0</v>
      </c>
      <c r="AB104">
        <f>C104*M104</f>
        <v>3.3967276765434873E-2</v>
      </c>
      <c r="AC104">
        <f>D104*P104</f>
        <v>-2.7897873793779029</v>
      </c>
      <c r="AD104">
        <f>(C104+0.01)*M104</f>
        <v>5.0950915148152309E-2</v>
      </c>
      <c r="AE104">
        <f>(D104-0.01)*P104</f>
        <v>-2.7613201612209854</v>
      </c>
      <c r="AF104">
        <f>(C104+0.05)*M104</f>
        <v>0.11888546867902207</v>
      </c>
      <c r="AG104">
        <f>(D104-0.05)*P104</f>
        <v>-2.6474512885933161</v>
      </c>
      <c r="AH104">
        <f>(C104+0.1)*M104</f>
        <v>0.20380366059260926</v>
      </c>
      <c r="AI104">
        <f>(D104-0.1)*P104</f>
        <v>-2.5051151978087294</v>
      </c>
      <c r="AK104">
        <f t="shared" si="124"/>
        <v>1.692024464888207</v>
      </c>
      <c r="AL104">
        <f t="shared" si="125"/>
        <v>1.6983638382717352</v>
      </c>
      <c r="AM104">
        <f t="shared" si="126"/>
        <v>1.6983638382717436</v>
      </c>
      <c r="AN104">
        <f t="shared" si="127"/>
        <v>-2.7558201026124678</v>
      </c>
      <c r="AO104">
        <f t="shared" si="128"/>
        <v>-2.7103692460728332</v>
      </c>
      <c r="AP104">
        <f t="shared" si="129"/>
        <v>-2.5285658199142942</v>
      </c>
      <c r="AQ104">
        <f t="shared" si="88"/>
        <v>-2.3013115372161201</v>
      </c>
    </row>
    <row r="105" spans="1:43" x14ac:dyDescent="0.3">
      <c r="A105">
        <v>640</v>
      </c>
      <c r="B105">
        <v>0.2</v>
      </c>
      <c r="C105">
        <v>0.01</v>
      </c>
      <c r="D105">
        <f t="shared" ref="D105:D131" si="167">1-C105</f>
        <v>0.99</v>
      </c>
      <c r="E105">
        <f t="shared" si="164"/>
        <v>25.298221281347036</v>
      </c>
      <c r="F105">
        <f t="shared" si="165"/>
        <v>639</v>
      </c>
      <c r="G105">
        <f t="shared" si="161"/>
        <v>9.2188208759482068E-2</v>
      </c>
      <c r="H105">
        <f t="shared" si="166"/>
        <v>-0.10781179124051794</v>
      </c>
      <c r="I105" s="2">
        <f>_xlfn.T.DIST.RT(E105*H105,F105)</f>
        <v>0.99672102282705033</v>
      </c>
      <c r="J105">
        <f>1-I105</f>
        <v>3.2789771729496708E-3</v>
      </c>
      <c r="L105">
        <f>I105/C105</f>
        <v>99.672102282705026</v>
      </c>
      <c r="M105">
        <f t="shared" si="162"/>
        <v>1.9985736184911969</v>
      </c>
      <c r="O105">
        <f>J105/D105</f>
        <v>3.3120981544946171E-3</v>
      </c>
      <c r="P105">
        <f t="shared" si="163"/>
        <v>-2.4798968013183962</v>
      </c>
      <c r="R105" s="4">
        <f>_xlfn.T.DIST.RT(E105*(G105-0.2),F105)</f>
        <v>0.99672102282705033</v>
      </c>
      <c r="S105">
        <f>R105*M105</f>
        <v>1.9920203412177049</v>
      </c>
      <c r="T105">
        <f>(1-R105)*P105</f>
        <v>-8.1315250027939271E-3</v>
      </c>
      <c r="U105" s="2">
        <f>_xlfn.T.DIST.RT(E105*(G105-0.4),F105)</f>
        <v>0.99999999999998612</v>
      </c>
      <c r="V105">
        <f>U105*M105</f>
        <v>1.9985736184911691</v>
      </c>
      <c r="W105">
        <f>(1-U105)*P105</f>
        <v>-3.4415481593974509E-14</v>
      </c>
      <c r="X105" s="2">
        <f>_xlfn.T.DIST.RT(E105*(G105-0.8),F105)</f>
        <v>1</v>
      </c>
      <c r="Y105">
        <f>X105*M105</f>
        <v>1.9985736184911969</v>
      </c>
      <c r="Z105">
        <f>(1-X105)*P105</f>
        <v>0</v>
      </c>
      <c r="AB105">
        <f>C105*M105</f>
        <v>1.9985736184911968E-2</v>
      </c>
      <c r="AC105">
        <f>D105*P105</f>
        <v>-2.4550978333052123</v>
      </c>
      <c r="AD105">
        <f>(C105+0.01)*M105</f>
        <v>3.9971472369823936E-2</v>
      </c>
      <c r="AE105">
        <f>(D105-0.01)*P105</f>
        <v>-2.4302988652920283</v>
      </c>
      <c r="AF105">
        <f>(C105+0.05)*M105</f>
        <v>0.11991441710947182</v>
      </c>
      <c r="AG105">
        <f>(D105-0.05)*P105</f>
        <v>-2.3311029932392922</v>
      </c>
      <c r="AH105">
        <f>(C105+0.1)*M105</f>
        <v>0.21984309803403165</v>
      </c>
      <c r="AI105">
        <f>(D105-0.1)*P105</f>
        <v>-2.2071081531733725</v>
      </c>
      <c r="AK105">
        <f t="shared" ref="AK105:AK131" si="168">S105+T105</f>
        <v>1.9838888162149109</v>
      </c>
      <c r="AL105">
        <f t="shared" ref="AL105:AL131" si="169">V105+W105</f>
        <v>1.9985736184911347</v>
      </c>
      <c r="AM105">
        <f t="shared" ref="AM105:AM131" si="170">Y105+Z105</f>
        <v>1.9985736184911969</v>
      </c>
      <c r="AN105">
        <f t="shared" ref="AN105:AN131" si="171">AB105+AC105</f>
        <v>-2.4351120971203004</v>
      </c>
      <c r="AO105">
        <f t="shared" ref="AO105:AO131" si="172">AD105+AE105</f>
        <v>-2.3903273929222042</v>
      </c>
      <c r="AP105">
        <f t="shared" ref="AP105:AP131" si="173">AF105+AG105</f>
        <v>-2.2111885761298202</v>
      </c>
      <c r="AQ105">
        <f t="shared" si="88"/>
        <v>-1.9872650551393409</v>
      </c>
    </row>
    <row r="106" spans="1:43" x14ac:dyDescent="0.3">
      <c r="A106">
        <v>640</v>
      </c>
      <c r="B106">
        <v>0.2</v>
      </c>
      <c r="C106">
        <v>5.0000000000000001E-3</v>
      </c>
      <c r="D106">
        <f t="shared" ref="D106" si="174">1-C106</f>
        <v>0.995</v>
      </c>
      <c r="E106">
        <f t="shared" ref="E106" si="175">SQRT(A106)</f>
        <v>25.298221281347036</v>
      </c>
      <c r="F106">
        <f t="shared" ref="F106" si="176">A106-1</f>
        <v>639</v>
      </c>
      <c r="G106">
        <f t="shared" ref="G106" si="177">-_xlfn.T.INV(C106,F106)/E106</f>
        <v>0.10212358750192989</v>
      </c>
      <c r="H106">
        <f t="shared" ref="H106" si="178">G106-B106</f>
        <v>-9.7876412498070123E-2</v>
      </c>
      <c r="I106" s="2">
        <f>_xlfn.T.DIST.RT(E106*H106,F106)</f>
        <v>0.99322969625799229</v>
      </c>
      <c r="J106">
        <f>1-I106</f>
        <v>6.7703037420077106E-3</v>
      </c>
      <c r="L106">
        <f>I106/C106</f>
        <v>198.64593925159846</v>
      </c>
      <c r="M106">
        <f t="shared" ref="M106" si="179">LOG10(L106)</f>
        <v>2.2980796915728638</v>
      </c>
      <c r="O106">
        <f>J106/D106</f>
        <v>6.8043253688519706E-3</v>
      </c>
      <c r="P106">
        <f t="shared" ref="P106" si="180">LOG10(O106)</f>
        <v>-2.167214927493557</v>
      </c>
      <c r="R106" s="4">
        <f>_xlfn.T.DIST.RT(E106*(G106-0.2),F106)</f>
        <v>0.99322969625799229</v>
      </c>
      <c r="S106">
        <f>R106*M106</f>
        <v>2.2825209940375761</v>
      </c>
      <c r="T106">
        <f>(1-R106)*P106</f>
        <v>-1.4672703333344599E-2</v>
      </c>
      <c r="U106" s="2">
        <f>_xlfn.T.DIST.RT(E106*(G106-0.4),F106)</f>
        <v>0.99999999999991662</v>
      </c>
      <c r="V106">
        <f>U106*M106</f>
        <v>2.2980796915726724</v>
      </c>
      <c r="W106">
        <f>(1-U106)*P106</f>
        <v>-1.8069750257728294E-13</v>
      </c>
      <c r="X106" s="2">
        <f>_xlfn.T.DIST.RT(E106*(G106-0.8),F106)</f>
        <v>1</v>
      </c>
      <c r="Y106">
        <f>X106*M106</f>
        <v>2.2980796915728638</v>
      </c>
      <c r="Z106">
        <f>(1-X106)*P106</f>
        <v>0</v>
      </c>
      <c r="AB106">
        <f>C106*M106</f>
        <v>1.149039845786432E-2</v>
      </c>
      <c r="AC106">
        <f>D106*P106</f>
        <v>-2.1563788528560894</v>
      </c>
      <c r="AD106">
        <f>(C106+0.01)*M106</f>
        <v>3.4471195373592958E-2</v>
      </c>
      <c r="AE106">
        <f>(D106-0.01)*P106</f>
        <v>-2.1347067035811538</v>
      </c>
      <c r="AF106">
        <f>(C106+0.05)*M106</f>
        <v>0.12639438303650752</v>
      </c>
      <c r="AG106">
        <f>(D106-0.05)*P106</f>
        <v>-2.0480181064814111</v>
      </c>
      <c r="AH106">
        <f>(C106+0.1)*M106</f>
        <v>0.24129836761515072</v>
      </c>
      <c r="AI106">
        <f>(D106-0.1)*P106</f>
        <v>-1.9396573601067335</v>
      </c>
      <c r="AK106">
        <f t="shared" ref="AK106" si="181">S106+T106</f>
        <v>2.2678482907042317</v>
      </c>
      <c r="AL106">
        <f t="shared" ref="AL106" si="182">V106+W106</f>
        <v>2.2980796915724917</v>
      </c>
      <c r="AM106">
        <f t="shared" ref="AM106" si="183">Y106+Z106</f>
        <v>2.2980796915728638</v>
      </c>
      <c r="AN106">
        <f t="shared" ref="AN106" si="184">AB106+AC106</f>
        <v>-2.1448884543982252</v>
      </c>
      <c r="AO106">
        <f t="shared" ref="AO106" si="185">AD106+AE106</f>
        <v>-2.100235508207561</v>
      </c>
      <c r="AP106">
        <f t="shared" ref="AP106" si="186">AF106+AG106</f>
        <v>-1.9216237234449036</v>
      </c>
      <c r="AQ106">
        <f t="shared" si="88"/>
        <v>-1.6983589924915827</v>
      </c>
    </row>
    <row r="107" spans="1:43" x14ac:dyDescent="0.3">
      <c r="A107">
        <v>640</v>
      </c>
      <c r="B107">
        <v>0.2</v>
      </c>
      <c r="C107">
        <v>2E-3</v>
      </c>
      <c r="D107">
        <f t="shared" si="167"/>
        <v>0.998</v>
      </c>
      <c r="E107">
        <f t="shared" si="164"/>
        <v>25.298221281347036</v>
      </c>
      <c r="F107">
        <f t="shared" si="165"/>
        <v>639</v>
      </c>
      <c r="G107">
        <f t="shared" si="161"/>
        <v>0.11418395394708913</v>
      </c>
      <c r="H107">
        <f t="shared" si="166"/>
        <v>-8.5816046052910877E-2</v>
      </c>
      <c r="I107" s="2">
        <f>_xlfn.T.DIST.RT(E107*H107,F107)</f>
        <v>0.98485047457679908</v>
      </c>
      <c r="J107">
        <f>1-I107</f>
        <v>1.5149525423200916E-2</v>
      </c>
      <c r="L107">
        <f>I107/C107</f>
        <v>492.42523728839956</v>
      </c>
      <c r="M107">
        <f t="shared" si="162"/>
        <v>2.6923403028584243</v>
      </c>
      <c r="O107">
        <f>J107/D107</f>
        <v>1.5179885193588092E-2</v>
      </c>
      <c r="P107">
        <f t="shared" si="163"/>
        <v>-1.818731513024183</v>
      </c>
      <c r="R107" s="4">
        <f>_xlfn.T.DIST.RT(E107*(G107-0.2),F107)</f>
        <v>0.98485047457679908</v>
      </c>
      <c r="S107">
        <f>R107*M107</f>
        <v>2.651552624992362</v>
      </c>
      <c r="T107">
        <f>(1-R107)*P107</f>
        <v>-2.7552919294536529E-2</v>
      </c>
      <c r="U107" s="2">
        <f>_xlfn.T.DIST.RT(E107*(G107-0.4),F107)</f>
        <v>0.99999999999931077</v>
      </c>
      <c r="V107">
        <f>U107*M107</f>
        <v>2.6923403028565684</v>
      </c>
      <c r="W107">
        <f>(1-U107)*P107</f>
        <v>-1.25351787093099E-12</v>
      </c>
      <c r="X107" s="2">
        <f>_xlfn.T.DIST.RT(E107*(G107-0.8),F107)</f>
        <v>1</v>
      </c>
      <c r="Y107">
        <f>X107*M107</f>
        <v>2.6923403028584243</v>
      </c>
      <c r="Z107">
        <f>(1-X107)*P107</f>
        <v>0</v>
      </c>
      <c r="AB107">
        <f>C107*M107</f>
        <v>5.3846806057168484E-3</v>
      </c>
      <c r="AC107">
        <f>D107*P107</f>
        <v>-1.8150940499981347</v>
      </c>
      <c r="AD107">
        <f>(C107+0.01)*M107</f>
        <v>3.2308083634301092E-2</v>
      </c>
      <c r="AE107">
        <f>(D107-0.01)*P107</f>
        <v>-1.7969067348678929</v>
      </c>
      <c r="AF107">
        <f>(C107+0.05)*M107</f>
        <v>0.14000169574863808</v>
      </c>
      <c r="AG107">
        <f>(D107-0.05)*P107</f>
        <v>-1.7241574743469255</v>
      </c>
      <c r="AH107">
        <f>(C107+0.1)*M107</f>
        <v>0.27461871089155931</v>
      </c>
      <c r="AI107">
        <f>(D107-0.1)*P107</f>
        <v>-1.6332208986957164</v>
      </c>
      <c r="AK107">
        <f t="shared" si="168"/>
        <v>2.6239997056978255</v>
      </c>
      <c r="AL107">
        <f t="shared" si="169"/>
        <v>2.6923403028553148</v>
      </c>
      <c r="AM107">
        <f t="shared" si="170"/>
        <v>2.6923403028584243</v>
      </c>
      <c r="AN107">
        <f t="shared" si="171"/>
        <v>-1.8097093693924178</v>
      </c>
      <c r="AO107">
        <f t="shared" si="172"/>
        <v>-1.7645986512335918</v>
      </c>
      <c r="AP107">
        <f t="shared" si="173"/>
        <v>-1.5841557785982874</v>
      </c>
      <c r="AQ107">
        <f t="shared" ref="AQ107:AQ131" si="187">AH107+AI107</f>
        <v>-1.358602187804157</v>
      </c>
    </row>
    <row r="108" spans="1:43" x14ac:dyDescent="0.3">
      <c r="A108">
        <v>640</v>
      </c>
      <c r="B108">
        <v>0.2</v>
      </c>
      <c r="C108">
        <v>1E-3</v>
      </c>
      <c r="D108">
        <f t="shared" si="167"/>
        <v>0.999</v>
      </c>
      <c r="E108">
        <f t="shared" si="164"/>
        <v>25.298221281347036</v>
      </c>
      <c r="F108">
        <f t="shared" si="165"/>
        <v>639</v>
      </c>
      <c r="G108">
        <f t="shared" si="161"/>
        <v>0.12265823529930894</v>
      </c>
      <c r="H108">
        <f t="shared" si="166"/>
        <v>-7.7341764700691068E-2</v>
      </c>
      <c r="I108" s="2">
        <f>_xlfn.T.DIST.RT(E108*H108,F108)</f>
        <v>0.97458570888687424</v>
      </c>
      <c r="J108">
        <f>1-I108</f>
        <v>2.5414291113125764E-2</v>
      </c>
      <c r="L108">
        <f>I108/C108</f>
        <v>974.58570888687427</v>
      </c>
      <c r="M108">
        <f t="shared" si="162"/>
        <v>2.9888200386920269</v>
      </c>
      <c r="O108">
        <f>J108/D108</f>
        <v>2.5439730843969735E-2</v>
      </c>
      <c r="P108">
        <f t="shared" si="163"/>
        <v>-1.5944874878977231</v>
      </c>
      <c r="R108" s="4">
        <f>_xlfn.T.DIST.RT(E108*(G108-0.2),F108)</f>
        <v>0.97458570888687424</v>
      </c>
      <c r="S108">
        <f>R108*M108</f>
        <v>2.9128612961439639</v>
      </c>
      <c r="T108">
        <f>(1-R108)*P108</f>
        <v>-4.0522769193669331E-2</v>
      </c>
      <c r="U108" s="2">
        <f>_xlfn.T.DIST.RT(E108*(G108-0.4),F108)</f>
        <v>0.99999999999708633</v>
      </c>
      <c r="V108">
        <f>U108*M108</f>
        <v>2.9888200386833184</v>
      </c>
      <c r="W108">
        <f>(1-U108)*P108</f>
        <v>-4.6458092520116176E-12</v>
      </c>
      <c r="X108" s="2">
        <f>_xlfn.T.DIST.RT(E108*(G108-0.8),F108)</f>
        <v>1</v>
      </c>
      <c r="Y108">
        <f>X108*M108</f>
        <v>2.9888200386920269</v>
      </c>
      <c r="Z108">
        <f>(1-X108)*P108</f>
        <v>0</v>
      </c>
      <c r="AB108">
        <f>C108*M108</f>
        <v>2.9888200386920271E-3</v>
      </c>
      <c r="AC108">
        <f>D108*P108</f>
        <v>-1.5928930004098254</v>
      </c>
      <c r="AD108">
        <f>(C108+0.01)*M108</f>
        <v>3.2877020425612295E-2</v>
      </c>
      <c r="AE108">
        <f>(D108-0.01)*P108</f>
        <v>-1.5769481255308482</v>
      </c>
      <c r="AF108">
        <f>(C108+0.05)*M108</f>
        <v>0.15242982197329338</v>
      </c>
      <c r="AG108">
        <f>(D108-0.05)*P108</f>
        <v>-1.5131686260149391</v>
      </c>
      <c r="AH108">
        <f>(C108+0.1)*M108</f>
        <v>0.30187082390789471</v>
      </c>
      <c r="AI108">
        <f>(D108-0.1)*P108</f>
        <v>-1.4334442516200532</v>
      </c>
      <c r="AK108">
        <f t="shared" si="168"/>
        <v>2.8723385269502946</v>
      </c>
      <c r="AL108">
        <f t="shared" si="169"/>
        <v>2.9888200386786727</v>
      </c>
      <c r="AM108">
        <f t="shared" si="170"/>
        <v>2.9888200386920269</v>
      </c>
      <c r="AN108">
        <f t="shared" si="171"/>
        <v>-1.5899041803711333</v>
      </c>
      <c r="AO108">
        <f t="shared" si="172"/>
        <v>-1.5440711051052358</v>
      </c>
      <c r="AP108">
        <f t="shared" si="173"/>
        <v>-1.3607388040416457</v>
      </c>
      <c r="AQ108">
        <f t="shared" si="187"/>
        <v>-1.1315734277121585</v>
      </c>
    </row>
    <row r="109" spans="1:43" x14ac:dyDescent="0.3">
      <c r="A109">
        <v>640</v>
      </c>
      <c r="B109">
        <v>0.2</v>
      </c>
      <c r="C109">
        <v>1E-4</v>
      </c>
      <c r="D109">
        <f t="shared" si="167"/>
        <v>0.99990000000000001</v>
      </c>
      <c r="E109">
        <f t="shared" si="164"/>
        <v>25.298221281347036</v>
      </c>
      <c r="F109">
        <f t="shared" si="165"/>
        <v>639</v>
      </c>
      <c r="G109">
        <f t="shared" si="161"/>
        <v>0.14786448223727325</v>
      </c>
      <c r="H109">
        <f t="shared" si="166"/>
        <v>-5.2135517762726763E-2</v>
      </c>
      <c r="I109" s="2">
        <f>_xlfn.T.DIST.RT(E109*H109,F109)</f>
        <v>0.90616849298372537</v>
      </c>
      <c r="J109">
        <f>1-I109</f>
        <v>9.3831507016274629E-2</v>
      </c>
      <c r="L109">
        <f>I109/C109</f>
        <v>9061.6849298372526</v>
      </c>
      <c r="M109">
        <f t="shared" si="162"/>
        <v>3.9572089579080671</v>
      </c>
      <c r="O109">
        <f>J109/D109</f>
        <v>9.3840891105385169E-2</v>
      </c>
      <c r="P109">
        <f t="shared" si="163"/>
        <v>-1.0276078768482593</v>
      </c>
      <c r="R109" s="4">
        <f>_xlfn.T.DIST.RT(E109*(G109-0.2),F109)</f>
        <v>0.90616849298372537</v>
      </c>
      <c r="S109">
        <f>R109*M109</f>
        <v>3.5858980778092517</v>
      </c>
      <c r="T109">
        <f>(1-R109)*P109</f>
        <v>-9.6421995706466521E-2</v>
      </c>
      <c r="U109" s="2">
        <f>_xlfn.T.DIST.RT(E109*(G109-0.4),F109)</f>
        <v>0.99999999982847876</v>
      </c>
      <c r="V109">
        <f>U109*M109</f>
        <v>3.9572089572293216</v>
      </c>
      <c r="W109">
        <f>(1-U109)*P109</f>
        <v>-1.7625657897065426E-10</v>
      </c>
      <c r="X109" s="2">
        <f>_xlfn.T.DIST.RT(E109*(G109-0.8),F109)</f>
        <v>1</v>
      </c>
      <c r="Y109">
        <f>X109*M109</f>
        <v>3.9572089579080671</v>
      </c>
      <c r="Z109">
        <f>(1-X109)*P109</f>
        <v>0</v>
      </c>
      <c r="AB109">
        <f>C109*M109</f>
        <v>3.9572089579080672E-4</v>
      </c>
      <c r="AC109">
        <f>D109*P109</f>
        <v>-1.0275051160605744</v>
      </c>
      <c r="AD109">
        <f>(C109+0.01)*M109</f>
        <v>3.9967810474871475E-2</v>
      </c>
      <c r="AE109">
        <f>(D109-0.01)*P109</f>
        <v>-1.0172290372920918</v>
      </c>
      <c r="AF109">
        <f>(C109+0.05)*M109</f>
        <v>0.19825616879119418</v>
      </c>
      <c r="AG109">
        <f>(D109-0.05)*P109</f>
        <v>-0.97612472221816149</v>
      </c>
      <c r="AH109">
        <f>(C109+0.1)*M109</f>
        <v>0.39611661668659753</v>
      </c>
      <c r="AI109">
        <f>(D109-0.1)*P109</f>
        <v>-0.9247443283757486</v>
      </c>
      <c r="AK109">
        <f t="shared" si="168"/>
        <v>3.4894760821027853</v>
      </c>
      <c r="AL109">
        <f t="shared" si="169"/>
        <v>3.9572089570530649</v>
      </c>
      <c r="AM109">
        <f t="shared" si="170"/>
        <v>3.9572089579080671</v>
      </c>
      <c r="AN109">
        <f t="shared" si="171"/>
        <v>-1.0271093951647836</v>
      </c>
      <c r="AO109">
        <f t="shared" si="172"/>
        <v>-0.97726122681722027</v>
      </c>
      <c r="AP109">
        <f t="shared" si="173"/>
        <v>-0.77786855342696737</v>
      </c>
      <c r="AQ109">
        <f t="shared" si="187"/>
        <v>-0.52862771168915113</v>
      </c>
    </row>
    <row r="110" spans="1:43" x14ac:dyDescent="0.3">
      <c r="A110">
        <v>640</v>
      </c>
      <c r="B110">
        <v>0.2</v>
      </c>
      <c r="C110" s="3">
        <v>1.504155E-5</v>
      </c>
      <c r="D110">
        <f t="shared" si="167"/>
        <v>0.99998495845000002</v>
      </c>
      <c r="E110">
        <f t="shared" si="164"/>
        <v>25.298221281347036</v>
      </c>
      <c r="F110">
        <f t="shared" si="165"/>
        <v>639</v>
      </c>
      <c r="G110">
        <v>0.16614165531167199</v>
      </c>
      <c r="H110">
        <f t="shared" si="166"/>
        <v>-3.3858344688328018E-2</v>
      </c>
      <c r="I110" s="2">
        <v>0.80399426702872501</v>
      </c>
      <c r="J110">
        <f>1-I110</f>
        <v>0.19600573297127499</v>
      </c>
      <c r="L110">
        <f>I110/C110</f>
        <v>53451.556989055316</v>
      </c>
      <c r="M110">
        <f>LOG10(L110)</f>
        <v>4.7279603602820579</v>
      </c>
      <c r="O110">
        <f>J110/D110</f>
        <v>0.19600868124565438</v>
      </c>
      <c r="P110">
        <f>LOG10(O110)</f>
        <v>-0.70772469326806042</v>
      </c>
      <c r="R110" s="4">
        <f>_xlfn.T.DIST.RT(E110*(G110-0.2),F110)</f>
        <v>0.80399426702872645</v>
      </c>
      <c r="S110">
        <f>R110*M110</f>
        <v>3.8012530244058467</v>
      </c>
      <c r="T110">
        <f>(1-R110)*P110</f>
        <v>-0.13871809724587594</v>
      </c>
      <c r="U110" s="2">
        <f>_xlfn.T.DIST.RT(E110*(G110-0.4),F110)</f>
        <v>0.9999999973141801</v>
      </c>
      <c r="V110">
        <f>U110*M110</f>
        <v>4.7279603475836076</v>
      </c>
      <c r="W110">
        <f>(1-U110)*P110</f>
        <v>-1.9008210647712227E-9</v>
      </c>
      <c r="X110" s="2">
        <f>_xlfn.T.DIST.RT(E110*(G110-0.8),F110)</f>
        <v>1</v>
      </c>
      <c r="Y110">
        <f>X110*M110</f>
        <v>4.7279603602820579</v>
      </c>
      <c r="Z110">
        <f>(1-X110)*P110</f>
        <v>0</v>
      </c>
      <c r="AB110">
        <f>C110*M110</f>
        <v>7.1115852157200584E-5</v>
      </c>
      <c r="AC110">
        <f>D110*P110</f>
        <v>-0.70771404799170046</v>
      </c>
      <c r="AD110">
        <f>(C110+0.01)*M110</f>
        <v>4.7350719454977784E-2</v>
      </c>
      <c r="AE110">
        <f>(D110-0.01)*P110</f>
        <v>-0.70063680105901982</v>
      </c>
      <c r="AF110">
        <f>(C110+0.05)*M110</f>
        <v>0.23646913386626009</v>
      </c>
      <c r="AG110">
        <f>(D110-0.05)*P110</f>
        <v>-0.67232781332829739</v>
      </c>
      <c r="AH110">
        <f>(C110+0.1)*M110</f>
        <v>0.47286715188036299</v>
      </c>
      <c r="AI110">
        <f>(D110-0.1)*P110</f>
        <v>-0.63694157866489443</v>
      </c>
      <c r="AK110">
        <f t="shared" si="168"/>
        <v>3.6625349271599705</v>
      </c>
      <c r="AL110">
        <f t="shared" si="169"/>
        <v>4.7279603456827868</v>
      </c>
      <c r="AM110">
        <f t="shared" si="170"/>
        <v>4.7279603602820579</v>
      </c>
      <c r="AN110">
        <f t="shared" si="171"/>
        <v>-0.70764293213954321</v>
      </c>
      <c r="AO110">
        <f t="shared" si="172"/>
        <v>-0.653286081604042</v>
      </c>
      <c r="AP110">
        <f t="shared" si="173"/>
        <v>-0.43585867946203727</v>
      </c>
      <c r="AQ110">
        <f t="shared" si="187"/>
        <v>-0.16407442678453144</v>
      </c>
    </row>
    <row r="111" spans="1:43" x14ac:dyDescent="0.3">
      <c r="A111">
        <v>640</v>
      </c>
      <c r="B111">
        <v>0.2</v>
      </c>
      <c r="C111">
        <v>1.0000000000000001E-5</v>
      </c>
      <c r="D111">
        <f t="shared" si="167"/>
        <v>0.99999000000000005</v>
      </c>
      <c r="E111">
        <f t="shared" si="164"/>
        <v>25.298221281347036</v>
      </c>
      <c r="F111">
        <f t="shared" si="165"/>
        <v>639</v>
      </c>
      <c r="G111">
        <f t="shared" ref="G111:G128" si="188">-_xlfn.T.INV(C111,F111)/E111</f>
        <v>0.16985868880472019</v>
      </c>
      <c r="H111">
        <f t="shared" si="166"/>
        <v>-3.0141311195279824E-2</v>
      </c>
      <c r="I111" s="2">
        <f>_xlfn.T.DIST.RT(E111*H111,F111)</f>
        <v>0.7769849215351925</v>
      </c>
      <c r="J111">
        <f>1-I111</f>
        <v>0.2230150784648075</v>
      </c>
      <c r="L111">
        <f>I111/C111</f>
        <v>77698.492153519241</v>
      </c>
      <c r="M111">
        <f t="shared" ref="M111:M128" si="189">LOG10(L111)</f>
        <v>4.890412590798852</v>
      </c>
      <c r="O111">
        <f>J111/D111</f>
        <v>0.22301730863789387</v>
      </c>
      <c r="P111">
        <f t="shared" ref="P111:P128" si="190">LOG10(O111)</f>
        <v>-0.65166142953383221</v>
      </c>
      <c r="R111" s="4">
        <f>_xlfn.T.DIST.RT(E111*(G111-0.2),F111)</f>
        <v>0.7769849215351925</v>
      </c>
      <c r="S111">
        <f>R111*M111</f>
        <v>3.7997768431365637</v>
      </c>
      <c r="T111">
        <f>(1-R111)*P111</f>
        <v>-0.14533032483997621</v>
      </c>
      <c r="U111" s="2">
        <f>_xlfn.T.DIST.RT(E111*(G111-0.4),F111)</f>
        <v>0.99999999540005147</v>
      </c>
      <c r="V111">
        <f>U111*M111</f>
        <v>4.8904125683032058</v>
      </c>
      <c r="W111">
        <f>(1-U111)*P111</f>
        <v>-2.9976090369209478E-9</v>
      </c>
      <c r="X111" s="2">
        <f>_xlfn.T.DIST.RT(E111*(G111-0.8),F111)</f>
        <v>1</v>
      </c>
      <c r="Y111">
        <f>X111*M111</f>
        <v>4.890412590798852</v>
      </c>
      <c r="Z111">
        <f>(1-X111)*P111</f>
        <v>0</v>
      </c>
      <c r="AB111">
        <f>C111*M111</f>
        <v>4.8904125907988521E-5</v>
      </c>
      <c r="AC111">
        <f>D111*P111</f>
        <v>-0.65165491291953692</v>
      </c>
      <c r="AD111">
        <f>(C111+0.01)*M111</f>
        <v>4.8953030033896505E-2</v>
      </c>
      <c r="AE111">
        <f>(D111-0.01)*P111</f>
        <v>-0.64513829862419858</v>
      </c>
      <c r="AF111">
        <f>(C111+0.05)*M111</f>
        <v>0.24456953366585063</v>
      </c>
      <c r="AG111">
        <f>(D111-0.05)*P111</f>
        <v>-0.61907184144284522</v>
      </c>
      <c r="AH111">
        <f>(C111+0.1)*M111</f>
        <v>0.48909016320579318</v>
      </c>
      <c r="AI111">
        <f>(D111-0.1)*P111</f>
        <v>-0.58648876996615373</v>
      </c>
      <c r="AK111">
        <f t="shared" si="168"/>
        <v>3.6544465182965875</v>
      </c>
      <c r="AL111">
        <f t="shared" si="169"/>
        <v>4.8904125653055965</v>
      </c>
      <c r="AM111">
        <f t="shared" si="170"/>
        <v>4.890412590798852</v>
      </c>
      <c r="AN111">
        <f t="shared" si="171"/>
        <v>-0.65160600879362895</v>
      </c>
      <c r="AO111">
        <f t="shared" si="172"/>
        <v>-0.59618526859030208</v>
      </c>
      <c r="AP111">
        <f t="shared" si="173"/>
        <v>-0.37450230777699456</v>
      </c>
      <c r="AQ111">
        <f t="shared" si="187"/>
        <v>-9.7398606760360551E-2</v>
      </c>
    </row>
    <row r="112" spans="1:43" x14ac:dyDescent="0.3">
      <c r="A112">
        <v>640</v>
      </c>
      <c r="B112">
        <v>0.2</v>
      </c>
      <c r="C112">
        <v>9.9999999999999995E-7</v>
      </c>
      <c r="D112">
        <f t="shared" si="167"/>
        <v>0.99999899999999997</v>
      </c>
      <c r="E112">
        <f t="shared" si="164"/>
        <v>25.298221281347036</v>
      </c>
      <c r="F112">
        <f t="shared" si="165"/>
        <v>639</v>
      </c>
      <c r="G112">
        <f t="shared" si="188"/>
        <v>0.18964417004852122</v>
      </c>
      <c r="H112">
        <f t="shared" si="166"/>
        <v>-1.0355829951478795E-2</v>
      </c>
      <c r="I112" s="2">
        <f>_xlfn.T.DIST.RT(E112*H112,F112)</f>
        <v>0.60329092676584928</v>
      </c>
      <c r="J112">
        <f>1-I112</f>
        <v>0.39670907323415072</v>
      </c>
      <c r="L112">
        <f>I112/C112</f>
        <v>603290.92676584935</v>
      </c>
      <c r="M112">
        <f t="shared" si="189"/>
        <v>5.7805267937646789</v>
      </c>
      <c r="O112">
        <f>J112/D112</f>
        <v>0.39670946994362066</v>
      </c>
      <c r="P112">
        <f t="shared" si="190"/>
        <v>-0.40152743225796478</v>
      </c>
      <c r="R112" s="4">
        <f>_xlfn.T.DIST.RT(E112*(G112-0.2),F112)</f>
        <v>0.60329092676584928</v>
      </c>
      <c r="S112">
        <f>R112*M112</f>
        <v>3.4873393666051165</v>
      </c>
      <c r="T112">
        <f>(1-R112)*P112</f>
        <v>-0.15928957552914544</v>
      </c>
      <c r="U112" s="2">
        <f>_xlfn.T.DIST.RT(E112*(G112-0.4),F112)</f>
        <v>0.99999992874742816</v>
      </c>
      <c r="V112">
        <f>U112*M112</f>
        <v>5.7805263818872783</v>
      </c>
      <c r="W112">
        <f>(1-U112)*P112</f>
        <v>-2.8609862213777879E-8</v>
      </c>
      <c r="X112" s="2">
        <f>_xlfn.T.DIST.RT(E112*(G112-0.8),F112)</f>
        <v>1</v>
      </c>
      <c r="Y112">
        <f>X112*M112</f>
        <v>5.7805267937646789</v>
      </c>
      <c r="Z112">
        <f>(1-X112)*P112</f>
        <v>0</v>
      </c>
      <c r="AB112">
        <f>C112*M112</f>
        <v>5.7805267937646785E-6</v>
      </c>
      <c r="AC112">
        <f>D112*P112</f>
        <v>-0.40152703073053253</v>
      </c>
      <c r="AD112">
        <f>(C112+0.01)*M112</f>
        <v>5.7811048464440552E-2</v>
      </c>
      <c r="AE112">
        <f>(D112-0.01)*P112</f>
        <v>-0.39751175640795283</v>
      </c>
      <c r="AF112">
        <f>(C112+0.05)*M112</f>
        <v>0.28903212021502772</v>
      </c>
      <c r="AG112">
        <f>(D112-0.05)*P112</f>
        <v>-0.38145065911763426</v>
      </c>
      <c r="AH112">
        <f>(C112+0.1)*M112</f>
        <v>0.57805845990326166</v>
      </c>
      <c r="AI112">
        <f>(D112-0.1)*P112</f>
        <v>-0.36137428750473605</v>
      </c>
      <c r="AK112">
        <f t="shared" si="168"/>
        <v>3.328049791075971</v>
      </c>
      <c r="AL112">
        <f t="shared" si="169"/>
        <v>5.7805263532774163</v>
      </c>
      <c r="AM112">
        <f t="shared" si="170"/>
        <v>5.7805267937646789</v>
      </c>
      <c r="AN112">
        <f t="shared" si="171"/>
        <v>-0.40152125020373874</v>
      </c>
      <c r="AO112">
        <f t="shared" si="172"/>
        <v>-0.33970070794351226</v>
      </c>
      <c r="AP112">
        <f t="shared" si="173"/>
        <v>-9.241853890260654E-2</v>
      </c>
      <c r="AQ112">
        <f t="shared" si="187"/>
        <v>0.21668417239852561</v>
      </c>
    </row>
    <row r="113" spans="1:43" x14ac:dyDescent="0.3">
      <c r="A113">
        <v>640</v>
      </c>
      <c r="B113">
        <v>0.2</v>
      </c>
      <c r="C113">
        <v>9.9999999999999995E-8</v>
      </c>
      <c r="D113">
        <f t="shared" si="167"/>
        <v>0.99999990000000005</v>
      </c>
      <c r="E113">
        <f t="shared" si="164"/>
        <v>25.298221281347036</v>
      </c>
      <c r="F113">
        <f t="shared" si="165"/>
        <v>639</v>
      </c>
      <c r="G113">
        <f t="shared" si="188"/>
        <v>0.2077975322928784</v>
      </c>
      <c r="H113">
        <f t="shared" si="166"/>
        <v>7.7975322928783841E-3</v>
      </c>
      <c r="I113" s="2">
        <f>_xlfn.T.DIST.RT(E113*H113,F113)</f>
        <v>0.42184195769483857</v>
      </c>
      <c r="J113">
        <f>1-I113</f>
        <v>0.57815804230516143</v>
      </c>
      <c r="L113">
        <f>I113/C113</f>
        <v>4218419.5769483857</v>
      </c>
      <c r="M113">
        <f t="shared" si="189"/>
        <v>6.6251497738129128</v>
      </c>
      <c r="O113">
        <f>J113/D113</f>
        <v>0.57815810012097146</v>
      </c>
      <c r="P113">
        <f t="shared" si="190"/>
        <v>-0.23795338541806718</v>
      </c>
      <c r="R113" s="4">
        <f>_xlfn.T.DIST.RT(E113*(G113-0.2),F113)</f>
        <v>0.42184195769483857</v>
      </c>
      <c r="S113">
        <f>R113*M113</f>
        <v>2.794766150606756</v>
      </c>
      <c r="T113">
        <f>(1-R113)*P113</f>
        <v>-0.13757466347319527</v>
      </c>
      <c r="U113" s="2">
        <f>_xlfn.T.DIST.RT(E113*(G113-0.4),F113)</f>
        <v>0.99999926915988291</v>
      </c>
      <c r="V113">
        <f>U113*M113</f>
        <v>6.6251449318876761</v>
      </c>
      <c r="W113">
        <f>(1-U113)*P113</f>
        <v>-1.7390588006122265E-7</v>
      </c>
      <c r="X113" s="2">
        <f>_xlfn.T.DIST.RT(E113*(G113-0.8),F113)</f>
        <v>1</v>
      </c>
      <c r="Y113">
        <f>X113*M113</f>
        <v>6.6251497738129128</v>
      </c>
      <c r="Z113">
        <f>(1-X113)*P113</f>
        <v>0</v>
      </c>
      <c r="AB113">
        <f>C113*M113</f>
        <v>6.6251497738129127E-7</v>
      </c>
      <c r="AC113">
        <f>D113*P113</f>
        <v>-0.23795336162272865</v>
      </c>
      <c r="AD113">
        <f>(C113+0.01)*M113</f>
        <v>6.6252160253106512E-2</v>
      </c>
      <c r="AE113">
        <f>(D113-0.01)*P113</f>
        <v>-0.23557382776854799</v>
      </c>
      <c r="AF113">
        <f>(C113+0.05)*M113</f>
        <v>0.33125815120562307</v>
      </c>
      <c r="AG113">
        <f>(D113-0.05)*P113</f>
        <v>-0.22605569235182529</v>
      </c>
      <c r="AH113">
        <f>(C113+0.1)*M113</f>
        <v>0.66251563989626872</v>
      </c>
      <c r="AI113">
        <f>(D113-0.1)*P113</f>
        <v>-0.21415802308092194</v>
      </c>
      <c r="AK113">
        <f t="shared" si="168"/>
        <v>2.6571914871335607</v>
      </c>
      <c r="AL113">
        <f t="shared" si="169"/>
        <v>6.6251447579817961</v>
      </c>
      <c r="AM113">
        <f t="shared" si="170"/>
        <v>6.6251497738129128</v>
      </c>
      <c r="AN113">
        <f t="shared" si="171"/>
        <v>-0.23795269910775127</v>
      </c>
      <c r="AO113">
        <f t="shared" si="172"/>
        <v>-0.16932166751544148</v>
      </c>
      <c r="AP113">
        <f t="shared" si="173"/>
        <v>0.10520245885379778</v>
      </c>
      <c r="AQ113">
        <f t="shared" si="187"/>
        <v>0.4483576168153468</v>
      </c>
    </row>
    <row r="114" spans="1:43" x14ac:dyDescent="0.3">
      <c r="A114">
        <v>1280</v>
      </c>
      <c r="B114">
        <v>0.2</v>
      </c>
      <c r="C114">
        <v>0.5</v>
      </c>
      <c r="D114">
        <f t="shared" si="167"/>
        <v>0.5</v>
      </c>
      <c r="E114">
        <f t="shared" si="164"/>
        <v>35.777087639996637</v>
      </c>
      <c r="F114">
        <f t="shared" si="165"/>
        <v>1279</v>
      </c>
      <c r="G114">
        <f t="shared" si="188"/>
        <v>0</v>
      </c>
      <c r="H114">
        <f t="shared" si="166"/>
        <v>-0.2</v>
      </c>
      <c r="I114" s="2">
        <f>_xlfn.T.DIST.RT(E114*H114,F114)</f>
        <v>0.99999999999929945</v>
      </c>
      <c r="J114">
        <f>1-I114</f>
        <v>7.0055072853847378E-13</v>
      </c>
      <c r="L114">
        <f>I114/C114</f>
        <v>1.9999999999985989</v>
      </c>
      <c r="M114">
        <f t="shared" si="189"/>
        <v>0.30102999566367694</v>
      </c>
      <c r="O114">
        <f>J114/D114</f>
        <v>1.4011014570769476E-12</v>
      </c>
      <c r="P114">
        <f t="shared" si="190"/>
        <v>-11.853530415282888</v>
      </c>
      <c r="R114" s="4">
        <f>_xlfn.T.DIST.RT(E114*(G114-0.2),F114)</f>
        <v>0.99999999999929945</v>
      </c>
      <c r="S114">
        <f>R114*M114</f>
        <v>0.30102999566346605</v>
      </c>
      <c r="T114">
        <f>(1-R114)*P114</f>
        <v>-8.3039993681793843E-12</v>
      </c>
      <c r="U114" s="2">
        <f>_xlfn.T.DIST.RT(E114*(G114-0.4),F114)</f>
        <v>1</v>
      </c>
      <c r="V114">
        <f>U114*M114</f>
        <v>0.30102999566367694</v>
      </c>
      <c r="W114">
        <f>(1-U114)*P114</f>
        <v>0</v>
      </c>
      <c r="X114" s="2">
        <f>_xlfn.T.DIST.RT(E114*(G114-0.8),F114)</f>
        <v>1</v>
      </c>
      <c r="Y114">
        <f>X114*M114</f>
        <v>0.30102999566367694</v>
      </c>
      <c r="Z114">
        <f>(1-X114)*P114</f>
        <v>0</v>
      </c>
      <c r="AB114">
        <f>C114*M114</f>
        <v>0.15051499783183847</v>
      </c>
      <c r="AC114">
        <f>D114*P114</f>
        <v>-5.9267652076414441</v>
      </c>
      <c r="AD114">
        <f>(C114+0.01)*M114</f>
        <v>0.15352529778847523</v>
      </c>
      <c r="AE114">
        <f>(D114-0.01)*P114</f>
        <v>-5.8082299034886153</v>
      </c>
      <c r="AF114">
        <f>(C114+0.05)*M114</f>
        <v>0.16556649761502232</v>
      </c>
      <c r="AG114">
        <f>(D114-0.05)*P114</f>
        <v>-5.3340886868772994</v>
      </c>
      <c r="AH114">
        <f>(C114+0.1)*M114</f>
        <v>0.18061799739820616</v>
      </c>
      <c r="AI114">
        <f>(D114-0.1)*P114</f>
        <v>-4.7414121661131556</v>
      </c>
      <c r="AK114">
        <f t="shared" si="168"/>
        <v>0.30102999565516203</v>
      </c>
      <c r="AL114">
        <f t="shared" si="169"/>
        <v>0.30102999566367694</v>
      </c>
      <c r="AM114">
        <f t="shared" si="170"/>
        <v>0.30102999566367694</v>
      </c>
      <c r="AN114">
        <f t="shared" si="171"/>
        <v>-5.7762502098096054</v>
      </c>
      <c r="AO114">
        <f t="shared" si="172"/>
        <v>-5.6547046057001404</v>
      </c>
      <c r="AP114">
        <f t="shared" si="173"/>
        <v>-5.1685221892622772</v>
      </c>
      <c r="AQ114">
        <f t="shared" si="187"/>
        <v>-4.5607941687149491</v>
      </c>
    </row>
    <row r="115" spans="1:43" x14ac:dyDescent="0.3">
      <c r="A115">
        <v>1280</v>
      </c>
      <c r="B115">
        <v>0.2</v>
      </c>
      <c r="C115">
        <v>0.2</v>
      </c>
      <c r="D115">
        <f t="shared" si="167"/>
        <v>0.8</v>
      </c>
      <c r="E115">
        <f t="shared" si="164"/>
        <v>35.777087639996637</v>
      </c>
      <c r="F115">
        <f t="shared" si="165"/>
        <v>1279</v>
      </c>
      <c r="G115">
        <f t="shared" si="188"/>
        <v>2.3531886247689371E-2</v>
      </c>
      <c r="H115">
        <f t="shared" si="166"/>
        <v>-0.17646811375231064</v>
      </c>
      <c r="I115" s="2">
        <f>_xlfn.T.DIST.RT(E115*H115,F115)</f>
        <v>0.99999999981228671</v>
      </c>
      <c r="J115">
        <f>1-I115</f>
        <v>1.8771328935685005E-10</v>
      </c>
      <c r="L115">
        <f>I115/C115</f>
        <v>4.9999999990614334</v>
      </c>
      <c r="M115">
        <f t="shared" si="189"/>
        <v>0.69897000425449596</v>
      </c>
      <c r="O115">
        <f>J115/D115</f>
        <v>2.3464161169606257E-10</v>
      </c>
      <c r="P115">
        <f t="shared" si="190"/>
        <v>-9.629594966954274</v>
      </c>
      <c r="R115" s="4">
        <f>_xlfn.T.DIST.RT(E115*(G115-0.2),F115)</f>
        <v>0.99999999981228671</v>
      </c>
      <c r="S115">
        <f>R115*M115</f>
        <v>0.69897000412329002</v>
      </c>
      <c r="T115">
        <f>(1-R115)*P115</f>
        <v>-1.8076029464211546E-9</v>
      </c>
      <c r="U115" s="2">
        <f>_xlfn.T.DIST.RT(E115*(G115-0.4),F115)</f>
        <v>1</v>
      </c>
      <c r="V115">
        <f>U115*M115</f>
        <v>0.69897000425449596</v>
      </c>
      <c r="W115">
        <f>(1-U115)*P115</f>
        <v>0</v>
      </c>
      <c r="X115" s="2">
        <f>_xlfn.T.DIST.RT(E115*(G115-0.8),F115)</f>
        <v>1</v>
      </c>
      <c r="Y115">
        <f>X115*M115</f>
        <v>0.69897000425449596</v>
      </c>
      <c r="Z115">
        <f>(1-X115)*P115</f>
        <v>0</v>
      </c>
      <c r="AB115">
        <f>C115*M115</f>
        <v>0.13979400085089919</v>
      </c>
      <c r="AC115">
        <f>D115*P115</f>
        <v>-7.7036759735634197</v>
      </c>
      <c r="AD115">
        <f>(C115+0.01)*M115</f>
        <v>0.14678370089344417</v>
      </c>
      <c r="AE115">
        <f>(D115-0.01)*P115</f>
        <v>-7.6073800238938771</v>
      </c>
      <c r="AF115">
        <f>(C115+0.05)*M115</f>
        <v>0.17474250106362399</v>
      </c>
      <c r="AG115">
        <f>(D115-0.05)*P115</f>
        <v>-7.2221962252157059</v>
      </c>
      <c r="AH115">
        <f>(C115+0.1)*M115</f>
        <v>0.20969100127634882</v>
      </c>
      <c r="AI115">
        <f>(D115-0.1)*P115</f>
        <v>-6.7407164768679921</v>
      </c>
      <c r="AK115">
        <f t="shared" si="168"/>
        <v>0.69897000231568707</v>
      </c>
      <c r="AL115">
        <f t="shared" si="169"/>
        <v>0.69897000425449596</v>
      </c>
      <c r="AM115">
        <f t="shared" si="170"/>
        <v>0.69897000425449596</v>
      </c>
      <c r="AN115">
        <f t="shared" si="171"/>
        <v>-7.5638819727125206</v>
      </c>
      <c r="AO115">
        <f t="shared" si="172"/>
        <v>-7.4605963230004333</v>
      </c>
      <c r="AP115">
        <f t="shared" si="173"/>
        <v>-7.0474537241520823</v>
      </c>
      <c r="AQ115">
        <f t="shared" si="187"/>
        <v>-6.531025475591643</v>
      </c>
    </row>
    <row r="116" spans="1:43" x14ac:dyDescent="0.3">
      <c r="A116">
        <v>1280</v>
      </c>
      <c r="B116">
        <v>0.2</v>
      </c>
      <c r="C116">
        <v>0.1</v>
      </c>
      <c r="D116">
        <f t="shared" si="167"/>
        <v>0.9</v>
      </c>
      <c r="E116">
        <f t="shared" si="164"/>
        <v>35.777087639996637</v>
      </c>
      <c r="F116">
        <f t="shared" si="165"/>
        <v>1279</v>
      </c>
      <c r="G116">
        <f t="shared" si="188"/>
        <v>3.5838965961318241E-2</v>
      </c>
      <c r="H116">
        <f t="shared" si="166"/>
        <v>-0.16416103403868176</v>
      </c>
      <c r="I116" s="2">
        <f>_xlfn.T.DIST.RT(E116*H116,F116)</f>
        <v>0.99999999727858002</v>
      </c>
      <c r="J116">
        <f>1-I116</f>
        <v>2.7214199782576998E-9</v>
      </c>
      <c r="L116">
        <f>I116/C116</f>
        <v>9.9999999727857993</v>
      </c>
      <c r="M116">
        <f t="shared" si="189"/>
        <v>0.99999999881810231</v>
      </c>
      <c r="O116">
        <f>J116/D116</f>
        <v>3.0237999758418885E-9</v>
      </c>
      <c r="P116">
        <f t="shared" si="190"/>
        <v>-8.5194469407704521</v>
      </c>
      <c r="R116" s="4">
        <f>_xlfn.T.DIST.RT(E116*(G116-0.2),F116)</f>
        <v>0.99999999727858002</v>
      </c>
      <c r="S116">
        <f>R116*M116</f>
        <v>0.99999999609668233</v>
      </c>
      <c r="T116">
        <f>(1-R116)*P116</f>
        <v>-2.3184993108319149E-8</v>
      </c>
      <c r="U116" s="2">
        <f>_xlfn.T.DIST.RT(E116*(G116-0.4),F116)</f>
        <v>1</v>
      </c>
      <c r="V116">
        <f>U116*M116</f>
        <v>0.99999999881810231</v>
      </c>
      <c r="W116">
        <f>(1-U116)*P116</f>
        <v>0</v>
      </c>
      <c r="X116" s="2">
        <f>_xlfn.T.DIST.RT(E116*(G116-0.8),F116)</f>
        <v>1</v>
      </c>
      <c r="Y116">
        <f>X116*M116</f>
        <v>0.99999999881810231</v>
      </c>
      <c r="Z116">
        <f>(1-X116)*P116</f>
        <v>0</v>
      </c>
      <c r="AB116">
        <f>C116*M116</f>
        <v>9.9999999881810242E-2</v>
      </c>
      <c r="AC116">
        <f>D116*P116</f>
        <v>-7.6675022466934069</v>
      </c>
      <c r="AD116">
        <f>(C116+0.01)*M116</f>
        <v>0.10999999986999126</v>
      </c>
      <c r="AE116">
        <f>(D116-0.01)*P116</f>
        <v>-7.5823077772857026</v>
      </c>
      <c r="AF116">
        <f>(C116+0.05)*M116</f>
        <v>0.14999999982271536</v>
      </c>
      <c r="AG116">
        <f>(D116-0.05)*P116</f>
        <v>-7.2415298996548838</v>
      </c>
      <c r="AH116">
        <f>(C116+0.1)*M116</f>
        <v>0.19999999976362048</v>
      </c>
      <c r="AI116">
        <f>(D116-0.1)*P116</f>
        <v>-6.8155575526163616</v>
      </c>
      <c r="AK116">
        <f t="shared" si="168"/>
        <v>0.99999997291168918</v>
      </c>
      <c r="AL116">
        <f t="shared" si="169"/>
        <v>0.99999999881810231</v>
      </c>
      <c r="AM116">
        <f t="shared" si="170"/>
        <v>0.99999999881810231</v>
      </c>
      <c r="AN116">
        <f t="shared" si="171"/>
        <v>-7.5675022468115962</v>
      </c>
      <c r="AO116">
        <f t="shared" si="172"/>
        <v>-7.4723077774157112</v>
      </c>
      <c r="AP116">
        <f t="shared" si="173"/>
        <v>-7.0915298998321683</v>
      </c>
      <c r="AQ116">
        <f t="shared" si="187"/>
        <v>-6.6155575528527413</v>
      </c>
    </row>
    <row r="117" spans="1:43" x14ac:dyDescent="0.3">
      <c r="A117">
        <v>1280</v>
      </c>
      <c r="B117">
        <v>0.2</v>
      </c>
      <c r="C117">
        <v>0.05</v>
      </c>
      <c r="D117">
        <f t="shared" si="167"/>
        <v>0.95</v>
      </c>
      <c r="E117">
        <f t="shared" si="164"/>
        <v>35.777087639996637</v>
      </c>
      <c r="F117">
        <f t="shared" si="165"/>
        <v>1279</v>
      </c>
      <c r="G117">
        <f t="shared" si="188"/>
        <v>4.6008380770739057E-2</v>
      </c>
      <c r="H117">
        <f t="shared" si="166"/>
        <v>-0.15399161922926097</v>
      </c>
      <c r="I117" s="2">
        <f>_xlfn.T.DIST.RT(E117*H117,F117)</f>
        <v>0.99999997825127873</v>
      </c>
      <c r="J117">
        <f>1-I117</f>
        <v>2.1748721268366467E-8</v>
      </c>
      <c r="L117">
        <f>I117/C117</f>
        <v>19.999999565025572</v>
      </c>
      <c r="M117">
        <f t="shared" si="189"/>
        <v>1.3010299862186314</v>
      </c>
      <c r="O117">
        <f>J117/D117</f>
        <v>2.2893390808806807E-8</v>
      </c>
      <c r="P117">
        <f t="shared" si="190"/>
        <v>-7.6402898779024646</v>
      </c>
      <c r="R117" s="4">
        <f>_xlfn.T.DIST.RT(E117*(G117-0.2),F117)</f>
        <v>0.99999997825127873</v>
      </c>
      <c r="S117">
        <f>R117*M117</f>
        <v>1.3010299579228928</v>
      </c>
      <c r="T117">
        <f>(1-R117)*P117</f>
        <v>-1.6616653496402237E-7</v>
      </c>
      <c r="U117" s="2">
        <f>_xlfn.T.DIST.RT(E117*(G117-0.4),F117)</f>
        <v>1</v>
      </c>
      <c r="V117">
        <f>U117*M117</f>
        <v>1.3010299862186314</v>
      </c>
      <c r="W117">
        <f>(1-U117)*P117</f>
        <v>0</v>
      </c>
      <c r="X117" s="2">
        <f>_xlfn.T.DIST.RT(E117*(G117-0.8),F117)</f>
        <v>1</v>
      </c>
      <c r="Y117">
        <f>X117*M117</f>
        <v>1.3010299862186314</v>
      </c>
      <c r="Z117">
        <f>(1-X117)*P117</f>
        <v>0</v>
      </c>
      <c r="AB117">
        <f>C117*M117</f>
        <v>6.5051499310931571E-2</v>
      </c>
      <c r="AC117">
        <f>D117*P117</f>
        <v>-7.2582753840073408</v>
      </c>
      <c r="AD117">
        <f>(C117+0.01)*M117</f>
        <v>7.8061799173117896E-2</v>
      </c>
      <c r="AE117">
        <f>(D117-0.01)*P117</f>
        <v>-7.1818724852283164</v>
      </c>
      <c r="AF117">
        <f>(C117+0.05)*M117</f>
        <v>0.13010299862186314</v>
      </c>
      <c r="AG117">
        <f>(D117-0.05)*P117</f>
        <v>-6.8762608901122171</v>
      </c>
      <c r="AH117">
        <f>(C117+0.1)*M117</f>
        <v>0.19515449793279474</v>
      </c>
      <c r="AI117">
        <f>(D117-0.1)*P117</f>
        <v>-6.4942463962170951</v>
      </c>
      <c r="AK117">
        <f t="shared" si="168"/>
        <v>1.3010297917563578</v>
      </c>
      <c r="AL117">
        <f t="shared" si="169"/>
        <v>1.3010299862186314</v>
      </c>
      <c r="AM117">
        <f t="shared" si="170"/>
        <v>1.3010299862186314</v>
      </c>
      <c r="AN117">
        <f t="shared" si="171"/>
        <v>-7.1932238846964092</v>
      </c>
      <c r="AO117">
        <f t="shared" si="172"/>
        <v>-7.1038106860551986</v>
      </c>
      <c r="AP117">
        <f t="shared" si="173"/>
        <v>-6.7461578914903537</v>
      </c>
      <c r="AQ117">
        <f t="shared" si="187"/>
        <v>-6.2990918982843001</v>
      </c>
    </row>
    <row r="118" spans="1:43" x14ac:dyDescent="0.3">
      <c r="A118">
        <v>1280</v>
      </c>
      <c r="B118">
        <v>0.2</v>
      </c>
      <c r="C118">
        <v>0.02</v>
      </c>
      <c r="D118">
        <f t="shared" si="167"/>
        <v>0.98</v>
      </c>
      <c r="E118">
        <f t="shared" si="164"/>
        <v>35.777087639996637</v>
      </c>
      <c r="F118">
        <f t="shared" si="165"/>
        <v>1279</v>
      </c>
      <c r="G118">
        <f t="shared" si="188"/>
        <v>5.7462632708233367E-2</v>
      </c>
      <c r="H118">
        <f t="shared" si="166"/>
        <v>-0.14253736729176664</v>
      </c>
      <c r="I118" s="2">
        <f>_xlfn.T.DIST.RT(E118*H118,F118)</f>
        <v>0.99999980414340839</v>
      </c>
      <c r="J118">
        <f>1-I118</f>
        <v>1.9585659161158731E-7</v>
      </c>
      <c r="L118">
        <f>I118/C118</f>
        <v>49.99999020717042</v>
      </c>
      <c r="M118">
        <f t="shared" si="189"/>
        <v>1.6989699192765735</v>
      </c>
      <c r="O118">
        <f>J118/D118</f>
        <v>1.9985366490978296E-7</v>
      </c>
      <c r="P118">
        <f t="shared" si="190"/>
        <v>-6.6992878832532554</v>
      </c>
      <c r="R118" s="4">
        <f>_xlfn.T.DIST.RT(E118*(G118-0.2),F118)</f>
        <v>0.99999980414340839</v>
      </c>
      <c r="S118">
        <f>R118*M118</f>
        <v>1.6989695865221159</v>
      </c>
      <c r="T118">
        <f>(1-R118)*P118</f>
        <v>-1.3120996910387881E-6</v>
      </c>
      <c r="U118" s="2">
        <f>_xlfn.T.DIST.RT(E118*(G118-0.4),F118)</f>
        <v>1</v>
      </c>
      <c r="V118">
        <f>U118*M118</f>
        <v>1.6989699192765735</v>
      </c>
      <c r="W118">
        <f>(1-U118)*P118</f>
        <v>0</v>
      </c>
      <c r="X118" s="2">
        <f>_xlfn.T.DIST.RT(E118*(G118-0.8),F118)</f>
        <v>1</v>
      </c>
      <c r="Y118">
        <f>X118*M118</f>
        <v>1.6989699192765735</v>
      </c>
      <c r="Z118">
        <f>(1-X118)*P118</f>
        <v>0</v>
      </c>
      <c r="AB118">
        <f>C118*M118</f>
        <v>3.3979398385531469E-2</v>
      </c>
      <c r="AC118">
        <f>D118*P118</f>
        <v>-6.5653021255881905</v>
      </c>
      <c r="AD118">
        <f>(C118+0.01)*M118</f>
        <v>5.09690975782972E-2</v>
      </c>
      <c r="AE118">
        <f>(D118-0.01)*P118</f>
        <v>-6.4983092467556576</v>
      </c>
      <c r="AF118">
        <f>(C118+0.05)*M118</f>
        <v>0.11892789434936016</v>
      </c>
      <c r="AG118">
        <f>(D118-0.05)*P118</f>
        <v>-6.2303377314255268</v>
      </c>
      <c r="AH118">
        <f>(C118+0.1)*M118</f>
        <v>0.20387639031318883</v>
      </c>
      <c r="AI118">
        <f>(D118-0.1)*P118</f>
        <v>-5.8953733372628649</v>
      </c>
      <c r="AK118">
        <f t="shared" si="168"/>
        <v>1.6989682744224248</v>
      </c>
      <c r="AL118">
        <f t="shared" si="169"/>
        <v>1.6989699192765735</v>
      </c>
      <c r="AM118">
        <f t="shared" si="170"/>
        <v>1.6989699192765735</v>
      </c>
      <c r="AN118">
        <f t="shared" si="171"/>
        <v>-6.5313227272026593</v>
      </c>
      <c r="AO118">
        <f t="shared" si="172"/>
        <v>-6.4473401491773608</v>
      </c>
      <c r="AP118">
        <f t="shared" si="173"/>
        <v>-6.1114098370761667</v>
      </c>
      <c r="AQ118">
        <f t="shared" si="187"/>
        <v>-5.6914969469496759</v>
      </c>
    </row>
    <row r="119" spans="1:43" x14ac:dyDescent="0.3">
      <c r="A119">
        <v>1280</v>
      </c>
      <c r="B119">
        <v>0.2</v>
      </c>
      <c r="C119">
        <v>0.01</v>
      </c>
      <c r="D119">
        <f t="shared" si="167"/>
        <v>0.99</v>
      </c>
      <c r="E119">
        <f t="shared" si="164"/>
        <v>35.777087639996637</v>
      </c>
      <c r="F119">
        <f t="shared" si="165"/>
        <v>1279</v>
      </c>
      <c r="G119">
        <f t="shared" si="188"/>
        <v>6.5104991616102045E-2</v>
      </c>
      <c r="H119">
        <f t="shared" si="166"/>
        <v>-0.13489500838389795</v>
      </c>
      <c r="I119" s="2">
        <f>_xlfn.T.DIST.RT(E119*H119,F119)</f>
        <v>0.99999922024502297</v>
      </c>
      <c r="J119">
        <f>1-I119</f>
        <v>7.7975497703164365E-7</v>
      </c>
      <c r="L119">
        <f>I119/C119</f>
        <v>99.999922024502297</v>
      </c>
      <c r="M119">
        <f t="shared" si="189"/>
        <v>1.9999996613565842</v>
      </c>
      <c r="O119">
        <f>J119/D119</f>
        <v>7.8763128993095314E-7</v>
      </c>
      <c r="P119">
        <f t="shared" si="190"/>
        <v>-6.1036770391382555</v>
      </c>
      <c r="R119" s="4">
        <f>_xlfn.T.DIST.RT(E119*(G119-0.2),F119)</f>
        <v>0.99999922024502297</v>
      </c>
      <c r="S119">
        <f>R119*M119</f>
        <v>1.9999981018468942</v>
      </c>
      <c r="T119">
        <f>(1-R119)*P119</f>
        <v>-4.759372549461821E-6</v>
      </c>
      <c r="U119" s="2">
        <f>_xlfn.T.DIST.RT(E119*(G119-0.4),F119)</f>
        <v>1</v>
      </c>
      <c r="V119">
        <f>U119*M119</f>
        <v>1.9999996613565842</v>
      </c>
      <c r="W119">
        <f>(1-U119)*P119</f>
        <v>0</v>
      </c>
      <c r="X119" s="2">
        <f>_xlfn.T.DIST.RT(E119*(G119-0.8),F119)</f>
        <v>1</v>
      </c>
      <c r="Y119">
        <f>X119*M119</f>
        <v>1.9999996613565842</v>
      </c>
      <c r="Z119">
        <f>(1-X119)*P119</f>
        <v>0</v>
      </c>
      <c r="AB119">
        <f>C119*M119</f>
        <v>1.9999996613565843E-2</v>
      </c>
      <c r="AC119">
        <f>D119*P119</f>
        <v>-6.0426402687468732</v>
      </c>
      <c r="AD119">
        <f>(C119+0.01)*M119</f>
        <v>3.9999993227131686E-2</v>
      </c>
      <c r="AE119">
        <f>(D119-0.01)*P119</f>
        <v>-5.98160349835549</v>
      </c>
      <c r="AF119">
        <f>(C119+0.05)*M119</f>
        <v>0.11999997968139506</v>
      </c>
      <c r="AG119">
        <f>(D119-0.05)*P119</f>
        <v>-5.7374564167899598</v>
      </c>
      <c r="AH119">
        <f>(C119+0.1)*M119</f>
        <v>0.21999996274922426</v>
      </c>
      <c r="AI119">
        <f>(D119-0.1)*P119</f>
        <v>-5.4322725648330472</v>
      </c>
      <c r="AK119">
        <f t="shared" si="168"/>
        <v>1.9999933424743448</v>
      </c>
      <c r="AL119">
        <f t="shared" si="169"/>
        <v>1.9999996613565842</v>
      </c>
      <c r="AM119">
        <f t="shared" si="170"/>
        <v>1.9999996613565842</v>
      </c>
      <c r="AN119">
        <f t="shared" si="171"/>
        <v>-6.022640272133307</v>
      </c>
      <c r="AO119">
        <f t="shared" si="172"/>
        <v>-5.9416035051283584</v>
      </c>
      <c r="AP119">
        <f t="shared" si="173"/>
        <v>-5.6174564371085651</v>
      </c>
      <c r="AQ119">
        <f t="shared" si="187"/>
        <v>-5.2122726020838233</v>
      </c>
    </row>
    <row r="120" spans="1:43" x14ac:dyDescent="0.3">
      <c r="A120">
        <v>1280</v>
      </c>
      <c r="B120">
        <v>0.2</v>
      </c>
      <c r="C120">
        <v>5.0000000000000001E-3</v>
      </c>
      <c r="D120">
        <f t="shared" ref="D120" si="191">1-C120</f>
        <v>0.995</v>
      </c>
      <c r="E120">
        <f t="shared" ref="E120" si="192">SQRT(A120)</f>
        <v>35.777087639996637</v>
      </c>
      <c r="F120">
        <f t="shared" ref="F120" si="193">A120-1</f>
        <v>1279</v>
      </c>
      <c r="G120">
        <f t="shared" ref="G120" si="194">-_xlfn.T.INV(C120,F120)/E120</f>
        <v>7.2104213513463411E-2</v>
      </c>
      <c r="H120">
        <f t="shared" ref="H120" si="195">G120-B120</f>
        <v>-0.1278957864865366</v>
      </c>
      <c r="I120" s="2">
        <f>_xlfn.T.DIST.RT(E120*H120,F120)</f>
        <v>0.9999973967129584</v>
      </c>
      <c r="J120">
        <f>1-I120</f>
        <v>2.6032870416026199E-6</v>
      </c>
      <c r="L120">
        <f>I120/C120</f>
        <v>199.99947934259168</v>
      </c>
      <c r="M120">
        <f t="shared" ref="M120" si="196">LOG10(L120)</f>
        <v>2.3010288650693127</v>
      </c>
      <c r="O120">
        <f>J120/D120</f>
        <v>2.616368886032784E-6</v>
      </c>
      <c r="P120">
        <f t="shared" ref="P120" si="197">LOG10(O120)</f>
        <v>-5.5823010241573394</v>
      </c>
      <c r="R120" s="4">
        <f>_xlfn.T.DIST.RT(E120*(G120-0.2),F120)</f>
        <v>0.9999973967129584</v>
      </c>
      <c r="S120">
        <f>R120*M120</f>
        <v>2.3010228748306858</v>
      </c>
      <c r="T120">
        <f>(1-R120)*P120</f>
        <v>-1.4532331918513835E-5</v>
      </c>
      <c r="U120" s="2">
        <f>_xlfn.T.DIST.RT(E120*(G120-0.4),F120)</f>
        <v>1</v>
      </c>
      <c r="V120">
        <f>U120*M120</f>
        <v>2.3010288650693127</v>
      </c>
      <c r="W120">
        <f>(1-U120)*P120</f>
        <v>0</v>
      </c>
      <c r="X120" s="2">
        <f>_xlfn.T.DIST.RT(E120*(G120-0.8),F120)</f>
        <v>1</v>
      </c>
      <c r="Y120">
        <f>X120*M120</f>
        <v>2.3010288650693127</v>
      </c>
      <c r="Z120">
        <f>(1-X120)*P120</f>
        <v>0</v>
      </c>
      <c r="AB120">
        <f>C120*M120</f>
        <v>1.1505144325346564E-2</v>
      </c>
      <c r="AC120">
        <f>D120*P120</f>
        <v>-5.5543895190365529</v>
      </c>
      <c r="AD120">
        <f>(C120+0.01)*M120</f>
        <v>3.4515432976039692E-2</v>
      </c>
      <c r="AE120">
        <f>(D120-0.01)*P120</f>
        <v>-5.4985665087949789</v>
      </c>
      <c r="AF120">
        <f>(C120+0.05)*M120</f>
        <v>0.12655658757881219</v>
      </c>
      <c r="AG120">
        <f>(D120-0.05)*P120</f>
        <v>-5.2752744678286856</v>
      </c>
      <c r="AH120">
        <f>(C120+0.1)*M120</f>
        <v>0.24160803083227786</v>
      </c>
      <c r="AI120">
        <f>(D120-0.1)*P120</f>
        <v>-4.9961594166208192</v>
      </c>
      <c r="AK120">
        <f t="shared" ref="AK120" si="198">S120+T120</f>
        <v>2.3010083424987671</v>
      </c>
      <c r="AL120">
        <f t="shared" ref="AL120" si="199">V120+W120</f>
        <v>2.3010288650693127</v>
      </c>
      <c r="AM120">
        <f t="shared" ref="AM120" si="200">Y120+Z120</f>
        <v>2.3010288650693127</v>
      </c>
      <c r="AN120">
        <f t="shared" ref="AN120" si="201">AB120+AC120</f>
        <v>-5.542884374711206</v>
      </c>
      <c r="AO120">
        <f t="shared" ref="AO120" si="202">AD120+AE120</f>
        <v>-5.4640510758189391</v>
      </c>
      <c r="AP120">
        <f t="shared" ref="AP120" si="203">AF120+AG120</f>
        <v>-5.1487178802498734</v>
      </c>
      <c r="AQ120">
        <f t="shared" ref="AQ120" si="204">AH120+AI120</f>
        <v>-4.7545513857885418</v>
      </c>
    </row>
    <row r="121" spans="1:43" x14ac:dyDescent="0.3">
      <c r="A121">
        <v>1280</v>
      </c>
      <c r="B121">
        <v>0.2</v>
      </c>
      <c r="C121">
        <v>2E-3</v>
      </c>
      <c r="D121">
        <f t="shared" si="167"/>
        <v>0.998</v>
      </c>
      <c r="E121">
        <f t="shared" si="164"/>
        <v>35.777087639996637</v>
      </c>
      <c r="F121">
        <f t="shared" si="165"/>
        <v>1279</v>
      </c>
      <c r="G121">
        <f t="shared" si="188"/>
        <v>8.059329604706586E-2</v>
      </c>
      <c r="H121">
        <f t="shared" si="166"/>
        <v>-0.11940670395293415</v>
      </c>
      <c r="I121" s="2">
        <f>_xlfn.T.DIST.RT(E121*H121,F121)</f>
        <v>0.99998959743312621</v>
      </c>
      <c r="J121">
        <f>1-I121</f>
        <v>1.0402566873790597E-5</v>
      </c>
      <c r="L121">
        <f>I121/C121</f>
        <v>499.99479871656308</v>
      </c>
      <c r="M121">
        <f t="shared" si="189"/>
        <v>2.6989654865351294</v>
      </c>
      <c r="O121">
        <f>J121/D121</f>
        <v>1.0423413701192984E-5</v>
      </c>
      <c r="P121">
        <f t="shared" si="190"/>
        <v>-4.981990024914202</v>
      </c>
      <c r="R121" s="4">
        <f>_xlfn.T.DIST.RT(E121*(G121-0.2),F121)</f>
        <v>0.99998959743312621</v>
      </c>
      <c r="S121">
        <f>R121*M121</f>
        <v>2.6989374103661654</v>
      </c>
      <c r="T121">
        <f>(1-R121)*P121</f>
        <v>-5.1825484398727672E-5</v>
      </c>
      <c r="U121" s="2">
        <f>_xlfn.T.DIST.RT(E121*(G121-0.4),F121)</f>
        <v>1</v>
      </c>
      <c r="V121">
        <f>U121*M121</f>
        <v>2.6989654865351294</v>
      </c>
      <c r="W121">
        <f>(1-U121)*P121</f>
        <v>0</v>
      </c>
      <c r="X121" s="2">
        <f>_xlfn.T.DIST.RT(E121*(G121-0.8),F121)</f>
        <v>1</v>
      </c>
      <c r="Y121">
        <f>X121*M121</f>
        <v>2.6989654865351294</v>
      </c>
      <c r="Z121">
        <f>(1-X121)*P121</f>
        <v>0</v>
      </c>
      <c r="AB121">
        <f>C121*M121</f>
        <v>5.3979309730702585E-3</v>
      </c>
      <c r="AC121">
        <f>D121*P121</f>
        <v>-4.9720260448643732</v>
      </c>
      <c r="AD121">
        <f>(C121+0.01)*M121</f>
        <v>3.2387585838421551E-2</v>
      </c>
      <c r="AE121">
        <f>(D121-0.01)*P121</f>
        <v>-4.9222061446152319</v>
      </c>
      <c r="AF121">
        <f>(C121+0.05)*M121</f>
        <v>0.14034620529982675</v>
      </c>
      <c r="AG121">
        <f>(D121-0.05)*P121</f>
        <v>-4.7229265436186632</v>
      </c>
      <c r="AH121">
        <f>(C121+0.1)*M121</f>
        <v>0.27529447962658321</v>
      </c>
      <c r="AI121">
        <f>(D121-0.1)*P121</f>
        <v>-4.4738270423729531</v>
      </c>
      <c r="AK121">
        <f t="shared" si="168"/>
        <v>2.6988855848817668</v>
      </c>
      <c r="AL121">
        <f t="shared" si="169"/>
        <v>2.6989654865351294</v>
      </c>
      <c r="AM121">
        <f t="shared" si="170"/>
        <v>2.6989654865351294</v>
      </c>
      <c r="AN121">
        <f t="shared" si="171"/>
        <v>-4.9666281138913027</v>
      </c>
      <c r="AO121">
        <f t="shared" si="172"/>
        <v>-4.8898185587768106</v>
      </c>
      <c r="AP121">
        <f t="shared" si="173"/>
        <v>-4.5825803383188362</v>
      </c>
      <c r="AQ121">
        <f t="shared" si="187"/>
        <v>-4.1985325627463697</v>
      </c>
    </row>
    <row r="122" spans="1:43" x14ac:dyDescent="0.3">
      <c r="A122">
        <v>1280</v>
      </c>
      <c r="B122">
        <v>0.2</v>
      </c>
      <c r="C122">
        <v>1E-3</v>
      </c>
      <c r="D122">
        <f t="shared" si="167"/>
        <v>0.999</v>
      </c>
      <c r="E122">
        <f t="shared" si="164"/>
        <v>35.777087639996637</v>
      </c>
      <c r="F122">
        <f t="shared" si="165"/>
        <v>1279</v>
      </c>
      <c r="G122">
        <f t="shared" si="188"/>
        <v>8.6553066013048394E-2</v>
      </c>
      <c r="H122">
        <f t="shared" si="166"/>
        <v>-0.11344693398695162</v>
      </c>
      <c r="I122" s="2">
        <f>_xlfn.T.DIST.RT(E122*H122,F122)</f>
        <v>0.99997384198798078</v>
      </c>
      <c r="J122">
        <f>1-I122</f>
        <v>2.6158012019217303E-5</v>
      </c>
      <c r="L122">
        <f>I122/C122</f>
        <v>999.97384198798079</v>
      </c>
      <c r="M122">
        <f t="shared" si="189"/>
        <v>2.9999886395711388</v>
      </c>
      <c r="O122">
        <f>J122/D122</f>
        <v>2.6184196215432735E-5</v>
      </c>
      <c r="P122">
        <f t="shared" si="190"/>
        <v>-4.5819607532331865</v>
      </c>
      <c r="R122" s="4">
        <f>_xlfn.T.DIST.RT(E122*(G122-0.2),F122)</f>
        <v>0.99997384198798078</v>
      </c>
      <c r="S122">
        <f>R122*M122</f>
        <v>2.9999101658322473</v>
      </c>
      <c r="T122">
        <f>(1-R122)*P122</f>
        <v>-1.1985498445465566E-4</v>
      </c>
      <c r="U122" s="2">
        <f>_xlfn.T.DIST.RT(E122*(G122-0.4),F122)</f>
        <v>1</v>
      </c>
      <c r="V122">
        <f>U122*M122</f>
        <v>2.9999886395711388</v>
      </c>
      <c r="W122">
        <f>(1-U122)*P122</f>
        <v>0</v>
      </c>
      <c r="X122" s="2">
        <f>_xlfn.T.DIST.RT(E122*(G122-0.8),F122)</f>
        <v>1</v>
      </c>
      <c r="Y122">
        <f>X122*M122</f>
        <v>2.9999886395711388</v>
      </c>
      <c r="Z122">
        <f>(1-X122)*P122</f>
        <v>0</v>
      </c>
      <c r="AB122">
        <f>C122*M122</f>
        <v>2.999988639571139E-3</v>
      </c>
      <c r="AC122">
        <f>D122*P122</f>
        <v>-4.5773787924799532</v>
      </c>
      <c r="AD122">
        <f>(C122+0.01)*M122</f>
        <v>3.2999875035282525E-2</v>
      </c>
      <c r="AE122">
        <f>(D122-0.01)*P122</f>
        <v>-4.5315591849476213</v>
      </c>
      <c r="AF122">
        <f>(C122+0.05)*M122</f>
        <v>0.1529994206181281</v>
      </c>
      <c r="AG122">
        <f>(D122-0.05)*P122</f>
        <v>-4.348280754818294</v>
      </c>
      <c r="AH122">
        <f>(C122+0.1)*M122</f>
        <v>0.30299885259668502</v>
      </c>
      <c r="AI122">
        <f>(D122-0.1)*P122</f>
        <v>-4.1191827171566349</v>
      </c>
      <c r="AK122">
        <f t="shared" si="168"/>
        <v>2.9997903108477928</v>
      </c>
      <c r="AL122">
        <f t="shared" si="169"/>
        <v>2.9999886395711388</v>
      </c>
      <c r="AM122">
        <f t="shared" si="170"/>
        <v>2.9999886395711388</v>
      </c>
      <c r="AN122">
        <f t="shared" si="171"/>
        <v>-4.5743788038403821</v>
      </c>
      <c r="AO122">
        <f t="shared" si="172"/>
        <v>-4.4985593099123387</v>
      </c>
      <c r="AP122">
        <f t="shared" si="173"/>
        <v>-4.1952813342001658</v>
      </c>
      <c r="AQ122">
        <f t="shared" si="187"/>
        <v>-3.81618386455995</v>
      </c>
    </row>
    <row r="123" spans="1:43" x14ac:dyDescent="0.3">
      <c r="A123">
        <v>1280</v>
      </c>
      <c r="B123">
        <v>0.2</v>
      </c>
      <c r="C123">
        <v>1E-4</v>
      </c>
      <c r="D123">
        <f t="shared" si="167"/>
        <v>0.99990000000000001</v>
      </c>
      <c r="E123">
        <f t="shared" si="164"/>
        <v>35.777087639996637</v>
      </c>
      <c r="F123">
        <f t="shared" si="165"/>
        <v>1279</v>
      </c>
      <c r="G123">
        <f t="shared" si="188"/>
        <v>0.10425180003808474</v>
      </c>
      <c r="H123">
        <f t="shared" si="166"/>
        <v>-9.5748199961915276E-2</v>
      </c>
      <c r="I123" s="2">
        <f>_xlfn.T.DIST.RT(E123*H123,F123)</f>
        <v>0.9996835465111894</v>
      </c>
      <c r="J123">
        <f>1-I123</f>
        <v>3.1645348881059743E-4</v>
      </c>
      <c r="L123">
        <f>I123/C123</f>
        <v>9996.8354651118934</v>
      </c>
      <c r="M123">
        <f t="shared" si="189"/>
        <v>3.9998625442457065</v>
      </c>
      <c r="O123">
        <f>J123/D123</f>
        <v>3.1648513732432983E-4</v>
      </c>
      <c r="P123">
        <f t="shared" si="190"/>
        <v>-3.4996466803688731</v>
      </c>
      <c r="R123" s="4">
        <f>_xlfn.T.DIST.RT(E123*(G123-0.2),F123)</f>
        <v>0.9996835465111894</v>
      </c>
      <c r="S123">
        <f>R123*M123</f>
        <v>3.9985967737888171</v>
      </c>
      <c r="T123">
        <f>(1-R123)*P123</f>
        <v>-1.1074754016071556E-3</v>
      </c>
      <c r="U123" s="2">
        <f>_xlfn.T.DIST.RT(E123*(G123-0.4),F123)</f>
        <v>1</v>
      </c>
      <c r="V123">
        <f>U123*M123</f>
        <v>3.9998625442457065</v>
      </c>
      <c r="W123">
        <f>(1-U123)*P123</f>
        <v>0</v>
      </c>
      <c r="X123" s="2">
        <f>_xlfn.T.DIST.RT(E123*(G123-0.8),F123)</f>
        <v>1</v>
      </c>
      <c r="Y123">
        <f>X123*M123</f>
        <v>3.9998625442457065</v>
      </c>
      <c r="Z123">
        <f>(1-X123)*P123</f>
        <v>0</v>
      </c>
      <c r="AB123">
        <f>C123*M123</f>
        <v>3.9998625442457067E-4</v>
      </c>
      <c r="AC123">
        <f>D123*P123</f>
        <v>-3.4992967157008361</v>
      </c>
      <c r="AD123">
        <f>(C123+0.01)*M123</f>
        <v>4.0398611696881637E-2</v>
      </c>
      <c r="AE123">
        <f>(D123-0.01)*P123</f>
        <v>-3.4643002488971475</v>
      </c>
      <c r="AF123">
        <f>(C123+0.05)*M123</f>
        <v>0.20039311346670993</v>
      </c>
      <c r="AG123">
        <f>(D123-0.05)*P123</f>
        <v>-3.3243143816823926</v>
      </c>
      <c r="AH123">
        <f>(C123+0.1)*M123</f>
        <v>0.40038624067899525</v>
      </c>
      <c r="AI123">
        <f>(D123-0.1)*P123</f>
        <v>-3.149332047663949</v>
      </c>
      <c r="AK123">
        <f t="shared" si="168"/>
        <v>3.9974892983872099</v>
      </c>
      <c r="AL123">
        <f t="shared" si="169"/>
        <v>3.9998625442457065</v>
      </c>
      <c r="AM123">
        <f t="shared" si="170"/>
        <v>3.9998625442457065</v>
      </c>
      <c r="AN123">
        <f t="shared" si="171"/>
        <v>-3.4988967294464115</v>
      </c>
      <c r="AO123">
        <f t="shared" si="172"/>
        <v>-3.4239016372002657</v>
      </c>
      <c r="AP123">
        <f t="shared" si="173"/>
        <v>-3.1239212682156827</v>
      </c>
      <c r="AQ123">
        <f t="shared" si="187"/>
        <v>-2.7489458069849539</v>
      </c>
    </row>
    <row r="124" spans="1:43" x14ac:dyDescent="0.3">
      <c r="A124">
        <v>1280</v>
      </c>
      <c r="B124">
        <v>0.2</v>
      </c>
      <c r="C124">
        <v>1.0000000000000001E-5</v>
      </c>
      <c r="D124">
        <f t="shared" si="167"/>
        <v>0.99999000000000005</v>
      </c>
      <c r="E124">
        <f t="shared" si="164"/>
        <v>35.777087639996637</v>
      </c>
      <c r="F124">
        <f t="shared" si="165"/>
        <v>1279</v>
      </c>
      <c r="G124">
        <f t="shared" si="188"/>
        <v>0.1196559317190355</v>
      </c>
      <c r="H124">
        <f t="shared" si="166"/>
        <v>-8.0344068280964506E-2</v>
      </c>
      <c r="I124" s="2">
        <f>_xlfn.T.DIST.RT(E124*H124,F124)</f>
        <v>0.99794302735255247</v>
      </c>
      <c r="J124">
        <f>1-I124</f>
        <v>2.0569726474475303E-3</v>
      </c>
      <c r="L124">
        <f>I124/C124</f>
        <v>99794.302735255245</v>
      </c>
      <c r="M124">
        <f t="shared" si="189"/>
        <v>4.9991057480882937</v>
      </c>
      <c r="O124">
        <f>J124/D124</f>
        <v>2.0569932173797041E-3</v>
      </c>
      <c r="P124">
        <f t="shared" si="190"/>
        <v>-2.6867671403224969</v>
      </c>
      <c r="R124" s="4">
        <f>_xlfn.T.DIST.RT(E124*(G124-0.2),F124)</f>
        <v>0.99794302735255247</v>
      </c>
      <c r="S124">
        <f>R124*M124</f>
        <v>4.9888227243027785</v>
      </c>
      <c r="T124">
        <f>(1-R124)*P124</f>
        <v>-5.5266065177041962E-3</v>
      </c>
      <c r="U124" s="2">
        <f>_xlfn.T.DIST.RT(E124*(G124-0.4),F124)</f>
        <v>1</v>
      </c>
      <c r="V124">
        <f>U124*M124</f>
        <v>4.9991057480882937</v>
      </c>
      <c r="W124">
        <f>(1-U124)*P124</f>
        <v>0</v>
      </c>
      <c r="X124" s="2">
        <f>_xlfn.T.DIST.RT(E124*(G124-0.8),F124)</f>
        <v>1</v>
      </c>
      <c r="Y124">
        <f>X124*M124</f>
        <v>4.9991057480882937</v>
      </c>
      <c r="Z124">
        <f>(1-X124)*P124</f>
        <v>0</v>
      </c>
      <c r="AB124">
        <f>C124*M124</f>
        <v>4.9991057480882938E-5</v>
      </c>
      <c r="AC124">
        <f>D124*P124</f>
        <v>-2.6867402726510936</v>
      </c>
      <c r="AD124">
        <f>(C124+0.01)*M124</f>
        <v>5.0041048538363817E-2</v>
      </c>
      <c r="AE124">
        <f>(D124-0.01)*P124</f>
        <v>-2.6598726012478688</v>
      </c>
      <c r="AF124">
        <f>(C124+0.05)*M124</f>
        <v>0.25000527846189557</v>
      </c>
      <c r="AG124">
        <f>(D124-0.05)*P124</f>
        <v>-2.5524019156349689</v>
      </c>
      <c r="AH124">
        <f>(C124+0.1)*M124</f>
        <v>0.49996056586631027</v>
      </c>
      <c r="AI124">
        <f>(D124-0.1)*P124</f>
        <v>-2.4180635586188441</v>
      </c>
      <c r="AK124">
        <f t="shared" si="168"/>
        <v>4.9832961177850743</v>
      </c>
      <c r="AL124">
        <f t="shared" si="169"/>
        <v>4.9991057480882937</v>
      </c>
      <c r="AM124">
        <f t="shared" si="170"/>
        <v>4.9991057480882937</v>
      </c>
      <c r="AN124">
        <f t="shared" si="171"/>
        <v>-2.6866902815936129</v>
      </c>
      <c r="AO124">
        <f t="shared" si="172"/>
        <v>-2.6098315527095051</v>
      </c>
      <c r="AP124">
        <f t="shared" si="173"/>
        <v>-2.3023966371730733</v>
      </c>
      <c r="AQ124">
        <f t="shared" si="187"/>
        <v>-1.9181029927525339</v>
      </c>
    </row>
    <row r="125" spans="1:43" x14ac:dyDescent="0.3">
      <c r="A125">
        <v>1280</v>
      </c>
      <c r="B125">
        <v>0.2</v>
      </c>
      <c r="C125">
        <v>9.9999999999999995E-7</v>
      </c>
      <c r="D125">
        <f t="shared" si="167"/>
        <v>0.99999899999999997</v>
      </c>
      <c r="E125">
        <f t="shared" si="164"/>
        <v>35.777087639996637</v>
      </c>
      <c r="F125">
        <f t="shared" si="165"/>
        <v>1279</v>
      </c>
      <c r="G125">
        <f t="shared" si="188"/>
        <v>0.1334774859745802</v>
      </c>
      <c r="H125">
        <f t="shared" si="166"/>
        <v>-6.652251402541981E-2</v>
      </c>
      <c r="I125" s="2">
        <f>_xlfn.T.DIST.RT(E125*H125,F125)</f>
        <v>0.99127031958091094</v>
      </c>
      <c r="J125">
        <f>1-I125</f>
        <v>8.7296804190890587E-3</v>
      </c>
      <c r="L125">
        <f>I125/C125</f>
        <v>991270.31958091096</v>
      </c>
      <c r="M125">
        <f t="shared" si="189"/>
        <v>5.9961921028138487</v>
      </c>
      <c r="O125">
        <f>J125/D125</f>
        <v>8.7296891487782073E-3</v>
      </c>
      <c r="P125">
        <f t="shared" si="190"/>
        <v>-2.0590012205984256</v>
      </c>
      <c r="R125" s="4">
        <f>_xlfn.T.DIST.RT(E125*(G125-0.2),F125)</f>
        <v>0.99127031958091094</v>
      </c>
      <c r="S125">
        <f>R125*M125</f>
        <v>5.9438472620248186</v>
      </c>
      <c r="T125">
        <f>(1-R125)*P125</f>
        <v>-1.7974422638338549E-2</v>
      </c>
      <c r="U125" s="2">
        <f>_xlfn.T.DIST.RT(E125*(G125-0.4),F125)</f>
        <v>1</v>
      </c>
      <c r="V125">
        <f>U125*M125</f>
        <v>5.9961921028138487</v>
      </c>
      <c r="W125">
        <f>(1-U125)*P125</f>
        <v>0</v>
      </c>
      <c r="X125" s="2">
        <f>_xlfn.T.DIST.RT(E125*(G125-0.8),F125)</f>
        <v>1</v>
      </c>
      <c r="Y125">
        <f>X125*M125</f>
        <v>5.9961921028138487</v>
      </c>
      <c r="Z125">
        <f>(1-X125)*P125</f>
        <v>0</v>
      </c>
      <c r="AB125">
        <f>C125*M125</f>
        <v>5.9961921028138485E-6</v>
      </c>
      <c r="AC125">
        <f>D125*P125</f>
        <v>-2.058999161597205</v>
      </c>
      <c r="AD125">
        <f>(C125+0.01)*M125</f>
        <v>5.99679172202413E-2</v>
      </c>
      <c r="AE125">
        <f>(D125-0.01)*P125</f>
        <v>-2.0384091493912209</v>
      </c>
      <c r="AF125">
        <f>(C125+0.05)*M125</f>
        <v>0.29981560133279528</v>
      </c>
      <c r="AG125">
        <f>(D125-0.05)*P125</f>
        <v>-1.9560491005672835</v>
      </c>
      <c r="AH125">
        <f>(C125+0.1)*M125</f>
        <v>0.59962520647348772</v>
      </c>
      <c r="AI125">
        <f>(D125-0.1)*P125</f>
        <v>-1.8530990395373623</v>
      </c>
      <c r="AK125">
        <f t="shared" si="168"/>
        <v>5.9258728393864804</v>
      </c>
      <c r="AL125">
        <f t="shared" si="169"/>
        <v>5.9961921028138487</v>
      </c>
      <c r="AM125">
        <f t="shared" si="170"/>
        <v>5.9961921028138487</v>
      </c>
      <c r="AN125">
        <f t="shared" si="171"/>
        <v>-2.0589931654051021</v>
      </c>
      <c r="AO125">
        <f t="shared" si="172"/>
        <v>-1.9784412321709797</v>
      </c>
      <c r="AP125">
        <f t="shared" si="173"/>
        <v>-1.6562334992344883</v>
      </c>
      <c r="AQ125">
        <f t="shared" si="187"/>
        <v>-1.2534738330638746</v>
      </c>
    </row>
    <row r="126" spans="1:43" x14ac:dyDescent="0.3">
      <c r="A126">
        <v>1280</v>
      </c>
      <c r="B126">
        <v>0.2</v>
      </c>
      <c r="C126">
        <v>9.9999999999999995E-8</v>
      </c>
      <c r="D126">
        <f t="shared" si="167"/>
        <v>0.99999990000000005</v>
      </c>
      <c r="E126">
        <f t="shared" si="164"/>
        <v>35.777087639996637</v>
      </c>
      <c r="F126">
        <f t="shared" si="165"/>
        <v>1279</v>
      </c>
      <c r="G126">
        <f t="shared" si="188"/>
        <v>0.14612601413839774</v>
      </c>
      <c r="H126">
        <f t="shared" si="166"/>
        <v>-5.3873985861602275E-2</v>
      </c>
      <c r="I126" s="2">
        <f>_xlfn.T.DIST.RT(E126*H126,F126)</f>
        <v>0.9729278602064988</v>
      </c>
      <c r="J126">
        <f>1-I126</f>
        <v>2.7072139793501204E-2</v>
      </c>
      <c r="L126">
        <f>I126/C126</f>
        <v>9729278.6020649876</v>
      </c>
      <c r="M126">
        <f t="shared" si="189"/>
        <v>6.9880806397794251</v>
      </c>
      <c r="O126">
        <f>J126/D126</f>
        <v>2.7072142500715452E-2</v>
      </c>
      <c r="P126">
        <f t="shared" si="190"/>
        <v>-1.5674773726218807</v>
      </c>
      <c r="R126" s="4">
        <f>_xlfn.T.DIST.RT(E126*(G126-0.2),F126)</f>
        <v>0.9729278602064988</v>
      </c>
      <c r="S126">
        <f>R126*M126</f>
        <v>6.7988983438110573</v>
      </c>
      <c r="T126">
        <f>(1-R126)*P126</f>
        <v>-4.2434966554769533E-2</v>
      </c>
      <c r="U126" s="2">
        <f>_xlfn.T.DIST.RT(E126*(G126-0.4),F126)</f>
        <v>1</v>
      </c>
      <c r="V126">
        <f>U126*M126</f>
        <v>6.9880806397794251</v>
      </c>
      <c r="W126">
        <f>(1-U126)*P126</f>
        <v>0</v>
      </c>
      <c r="X126" s="2">
        <f>_xlfn.T.DIST.RT(E126*(G126-0.8),F126)</f>
        <v>1</v>
      </c>
      <c r="Y126">
        <f>X126*M126</f>
        <v>6.9880806397794251</v>
      </c>
      <c r="Z126">
        <f>(1-X126)*P126</f>
        <v>0</v>
      </c>
      <c r="AB126">
        <f>C126*M126</f>
        <v>6.9880806397794243E-7</v>
      </c>
      <c r="AC126">
        <f>D126*P126</f>
        <v>-1.5674772158741435</v>
      </c>
      <c r="AD126">
        <f>(C126+0.01)*M126</f>
        <v>6.988150520585823E-2</v>
      </c>
      <c r="AE126">
        <f>(D126-0.01)*P126</f>
        <v>-1.5518024421479246</v>
      </c>
      <c r="AF126">
        <f>(C126+0.05)*M126</f>
        <v>0.34940473079703527</v>
      </c>
      <c r="AG126">
        <f>(D126-0.05)*P126</f>
        <v>-1.4891033472430495</v>
      </c>
      <c r="AH126">
        <f>(C126+0.1)*M126</f>
        <v>0.69880876278600657</v>
      </c>
      <c r="AI126">
        <f>(D126-0.1)*P126</f>
        <v>-1.4107294786119555</v>
      </c>
      <c r="AK126">
        <f t="shared" si="168"/>
        <v>6.7564633772562877</v>
      </c>
      <c r="AL126">
        <f t="shared" si="169"/>
        <v>6.9880806397794251</v>
      </c>
      <c r="AM126">
        <f t="shared" si="170"/>
        <v>6.9880806397794251</v>
      </c>
      <c r="AN126">
        <f t="shared" si="171"/>
        <v>-1.5674765170660794</v>
      </c>
      <c r="AO126">
        <f t="shared" si="172"/>
        <v>-1.4819209369420663</v>
      </c>
      <c r="AP126">
        <f t="shared" si="173"/>
        <v>-1.1396986164460143</v>
      </c>
      <c r="AQ126">
        <f t="shared" si="187"/>
        <v>-0.71192071582594896</v>
      </c>
    </row>
    <row r="127" spans="1:43" x14ac:dyDescent="0.3">
      <c r="A127">
        <v>1280</v>
      </c>
      <c r="B127">
        <v>0.2</v>
      </c>
      <c r="C127">
        <v>1E-8</v>
      </c>
      <c r="D127">
        <f t="shared" si="167"/>
        <v>0.99999998999999995</v>
      </c>
      <c r="E127">
        <f t="shared" si="164"/>
        <v>35.777087639996637</v>
      </c>
      <c r="F127">
        <f t="shared" si="165"/>
        <v>1279</v>
      </c>
      <c r="G127">
        <f t="shared" si="188"/>
        <v>0.15786199199524895</v>
      </c>
      <c r="H127">
        <f t="shared" si="166"/>
        <v>-4.2138008004751065E-2</v>
      </c>
      <c r="I127" s="2">
        <f>_xlfn.T.DIST.RT(E127*H127,F127)</f>
        <v>0.93404488316459444</v>
      </c>
      <c r="J127">
        <f>1-I127</f>
        <v>6.5955116835405558E-2</v>
      </c>
      <c r="L127">
        <f>I127/C127</f>
        <v>93404488.316459447</v>
      </c>
      <c r="M127">
        <f t="shared" si="189"/>
        <v>7.9703677456544773</v>
      </c>
      <c r="O127">
        <f>J127/D127</f>
        <v>6.5955117494956736E-2</v>
      </c>
      <c r="P127">
        <f t="shared" si="190"/>
        <v>-1.1807515016552028</v>
      </c>
      <c r="R127" s="4">
        <f>_xlfn.T.DIST.RT(E127*(G127-0.2),F127)</f>
        <v>0.93404488316459444</v>
      </c>
      <c r="S127">
        <f>R127*M127</f>
        <v>7.4446812097686879</v>
      </c>
      <c r="T127">
        <f>(1-R127)*P127</f>
        <v>-7.7876603245249462E-2</v>
      </c>
      <c r="U127" s="2">
        <f>_xlfn.T.DIST.RT(E127*(G127-0.4),F127)</f>
        <v>1</v>
      </c>
      <c r="V127">
        <f>U127*M127</f>
        <v>7.9703677456544773</v>
      </c>
      <c r="W127">
        <f>(1-U127)*P127</f>
        <v>0</v>
      </c>
      <c r="X127" s="2">
        <f>_xlfn.T.DIST.RT(E127*(G127-0.8),F127)</f>
        <v>1</v>
      </c>
      <c r="Y127">
        <f>X127*M127</f>
        <v>7.9703677456544773</v>
      </c>
      <c r="Z127">
        <f>(1-X127)*P127</f>
        <v>0</v>
      </c>
      <c r="AB127">
        <f>C127*M127</f>
        <v>7.970367745654478E-8</v>
      </c>
      <c r="AC127">
        <f>D127*P127</f>
        <v>-1.1807514898476879</v>
      </c>
      <c r="AD127">
        <f>(C127+0.01)*M127</f>
        <v>7.9703757160222224E-2</v>
      </c>
      <c r="AE127">
        <f>(D127-0.01)*P127</f>
        <v>-1.1689439748311357</v>
      </c>
      <c r="AF127">
        <f>(C127+0.05)*M127</f>
        <v>0.39851846698640137</v>
      </c>
      <c r="AG127">
        <f>(D127-0.05)*P127</f>
        <v>-1.1217139147649275</v>
      </c>
      <c r="AH127">
        <f>(C127+0.1)*M127</f>
        <v>0.79703685426912518</v>
      </c>
      <c r="AI127">
        <f>(D127-0.1)*P127</f>
        <v>-1.0626763396821675</v>
      </c>
      <c r="AK127">
        <f t="shared" si="168"/>
        <v>7.3668046065234387</v>
      </c>
      <c r="AL127">
        <f t="shared" si="169"/>
        <v>7.9703677456544773</v>
      </c>
      <c r="AM127">
        <f t="shared" si="170"/>
        <v>7.9703677456544773</v>
      </c>
      <c r="AN127">
        <f t="shared" si="171"/>
        <v>-1.1807514101440104</v>
      </c>
      <c r="AO127">
        <f t="shared" si="172"/>
        <v>-1.0892402176709135</v>
      </c>
      <c r="AP127">
        <f t="shared" si="173"/>
        <v>-0.72319544777852618</v>
      </c>
      <c r="AQ127">
        <f t="shared" si="187"/>
        <v>-0.26563948541304228</v>
      </c>
    </row>
    <row r="128" spans="1:43" x14ac:dyDescent="0.3">
      <c r="A128">
        <v>1280</v>
      </c>
      <c r="B128">
        <v>0.2</v>
      </c>
      <c r="C128">
        <v>1.0000000000000001E-9</v>
      </c>
      <c r="D128">
        <f t="shared" si="167"/>
        <v>0.99999999900000003</v>
      </c>
      <c r="E128">
        <f t="shared" si="164"/>
        <v>35.777087639996637</v>
      </c>
      <c r="F128">
        <f t="shared" si="165"/>
        <v>1279</v>
      </c>
      <c r="G128">
        <f t="shared" si="188"/>
        <v>0.16886293554248946</v>
      </c>
      <c r="H128">
        <f t="shared" si="166"/>
        <v>-3.1137064457510549E-2</v>
      </c>
      <c r="I128" s="2">
        <f>_xlfn.T.DIST.RT(E128*H128,F128)</f>
        <v>0.8672543600432242</v>
      </c>
      <c r="J128">
        <f>1-I128</f>
        <v>0.1327456399567758</v>
      </c>
      <c r="L128">
        <f>I128/C128</f>
        <v>867254360.0432241</v>
      </c>
      <c r="M128">
        <f t="shared" si="189"/>
        <v>8.9381464918959974</v>
      </c>
      <c r="O128">
        <f>J128/D128</f>
        <v>0.13274564008952144</v>
      </c>
      <c r="P128">
        <f t="shared" si="190"/>
        <v>-0.87697973402168727</v>
      </c>
      <c r="R128" s="4">
        <f>_xlfn.T.DIST.RT(E128*(G128-0.2),F128)</f>
        <v>0.8672543600432242</v>
      </c>
      <c r="S128">
        <f>R128*M128</f>
        <v>7.7516465158018528</v>
      </c>
      <c r="T128">
        <f>(1-R128)*P128</f>
        <v>-0.1164152360218319</v>
      </c>
      <c r="U128" s="2">
        <f>_xlfn.T.DIST.RT(E128*(G128-0.4),F128)</f>
        <v>0.99999999999999978</v>
      </c>
      <c r="V128">
        <f>U128*M128</f>
        <v>8.9381464918959956</v>
      </c>
      <c r="W128">
        <f>(1-U128)*P128</f>
        <v>-1.9472861856810459E-16</v>
      </c>
      <c r="X128" s="2">
        <f>_xlfn.T.DIST.RT(E128*(G128-0.8),F128)</f>
        <v>1</v>
      </c>
      <c r="Y128">
        <f>X128*M128</f>
        <v>8.9381464918959974</v>
      </c>
      <c r="Z128">
        <f>(1-X128)*P128</f>
        <v>0</v>
      </c>
      <c r="AB128">
        <f>C128*M128</f>
        <v>8.9381464918959981E-9</v>
      </c>
      <c r="AC128">
        <f>D128*P128</f>
        <v>-0.87697973314470756</v>
      </c>
      <c r="AD128">
        <f>(C128+0.01)*M128</f>
        <v>8.9381473857106458E-2</v>
      </c>
      <c r="AE128">
        <f>(D128-0.01)*P128</f>
        <v>-0.86820993580449068</v>
      </c>
      <c r="AF128">
        <f>(C128+0.05)*M128</f>
        <v>0.44690733353294637</v>
      </c>
      <c r="AG128">
        <f>(D128-0.05)*P128</f>
        <v>-0.83313074644362317</v>
      </c>
      <c r="AH128">
        <f>(C128+0.1)*M128</f>
        <v>0.8938146581277463</v>
      </c>
      <c r="AI128">
        <f>(D128-0.1)*P128</f>
        <v>-0.78928175974253889</v>
      </c>
      <c r="AK128">
        <f t="shared" si="168"/>
        <v>7.6352312797800206</v>
      </c>
      <c r="AL128">
        <f t="shared" si="169"/>
        <v>8.9381464918959956</v>
      </c>
      <c r="AM128">
        <f t="shared" si="170"/>
        <v>8.9381464918959974</v>
      </c>
      <c r="AN128">
        <f t="shared" si="171"/>
        <v>-0.87697972420656112</v>
      </c>
      <c r="AO128">
        <f t="shared" si="172"/>
        <v>-0.7788284619473842</v>
      </c>
      <c r="AP128">
        <f t="shared" si="173"/>
        <v>-0.3862234129106768</v>
      </c>
      <c r="AQ128">
        <f t="shared" si="187"/>
        <v>0.10453289838520741</v>
      </c>
    </row>
    <row r="129" spans="1:43" x14ac:dyDescent="0.3">
      <c r="A129">
        <v>1280</v>
      </c>
      <c r="B129">
        <v>0.2</v>
      </c>
      <c r="C129" s="3">
        <v>7.1781499999999997E-10</v>
      </c>
      <c r="D129">
        <f t="shared" si="167"/>
        <v>0.99999999928218497</v>
      </c>
      <c r="E129">
        <f t="shared" si="164"/>
        <v>35.777087639996637</v>
      </c>
      <c r="F129">
        <f t="shared" si="165"/>
        <v>1279</v>
      </c>
      <c r="G129">
        <v>0.17039435845231199</v>
      </c>
      <c r="H129">
        <f t="shared" si="166"/>
        <v>-2.9605641547688022E-2</v>
      </c>
      <c r="I129" s="2">
        <v>0.85514647939284305</v>
      </c>
      <c r="J129">
        <f>1-I129</f>
        <v>0.14485352060715695</v>
      </c>
      <c r="L129">
        <f>I129/C129</f>
        <v>1191318765.1314657</v>
      </c>
      <c r="M129">
        <f>LOG10(L129)</f>
        <v>9.0760279826539083</v>
      </c>
      <c r="O129">
        <f>J129/D129</f>
        <v>0.14485352071113497</v>
      </c>
      <c r="P129">
        <f>LOG10(O129)</f>
        <v>-0.83907094466569809</v>
      </c>
      <c r="R129" s="4">
        <f>_xlfn.T.DIST.RT(E129*(G129-0.2),F129)</f>
        <v>0.8551464793928456</v>
      </c>
      <c r="S129">
        <f>R129*M129</f>
        <v>7.7613333762374408</v>
      </c>
      <c r="T129">
        <f>(1-R129)*P129</f>
        <v>-0.1215423803739972</v>
      </c>
      <c r="U129" s="2">
        <f>_xlfn.T.DIST.RT(E129*(G129-0.4),F129)</f>
        <v>0.99999999999999978</v>
      </c>
      <c r="V129">
        <f>U129*M129</f>
        <v>9.0760279826539065</v>
      </c>
      <c r="W129">
        <f>(1-U129)*P129</f>
        <v>-1.8631117641236774E-16</v>
      </c>
      <c r="X129" s="2">
        <f>_xlfn.T.DIST.RT(E129*(G129-0.8),F129)</f>
        <v>1</v>
      </c>
      <c r="Y129">
        <f>X129*M129</f>
        <v>9.0760279826539083</v>
      </c>
      <c r="Z129">
        <f>(1-X129)*P129</f>
        <v>0</v>
      </c>
      <c r="AB129">
        <f>C129*M129</f>
        <v>6.5149090263687146E-9</v>
      </c>
      <c r="AC129">
        <f>D129*P129</f>
        <v>-0.83907094406340033</v>
      </c>
      <c r="AD129">
        <f>(C129+0.01)*M129</f>
        <v>9.0760286341448115E-2</v>
      </c>
      <c r="AE129">
        <f>(D129-0.01)*P129</f>
        <v>-0.83068023461674334</v>
      </c>
      <c r="AF129">
        <f>(C129+0.05)*M129</f>
        <v>0.45380140564760446</v>
      </c>
      <c r="AG129">
        <f>(D129-0.05)*P129</f>
        <v>-0.7971173968301154</v>
      </c>
      <c r="AH129">
        <f>(C129+0.1)*M129</f>
        <v>0.90760280478029998</v>
      </c>
      <c r="AI129">
        <f>(D129-0.1)*P129</f>
        <v>-0.75516384959683058</v>
      </c>
      <c r="AK129">
        <f t="shared" si="168"/>
        <v>7.6397909958634438</v>
      </c>
      <c r="AL129">
        <f t="shared" si="169"/>
        <v>9.0760279826539065</v>
      </c>
      <c r="AM129">
        <f t="shared" si="170"/>
        <v>9.0760279826539083</v>
      </c>
      <c r="AN129">
        <f t="shared" si="171"/>
        <v>-0.83907093754849127</v>
      </c>
      <c r="AO129">
        <f t="shared" si="172"/>
        <v>-0.73991994827529517</v>
      </c>
      <c r="AP129">
        <f t="shared" si="173"/>
        <v>-0.34331599118251094</v>
      </c>
      <c r="AQ129">
        <f t="shared" si="187"/>
        <v>0.15243895518346939</v>
      </c>
    </row>
    <row r="130" spans="1:43" x14ac:dyDescent="0.3">
      <c r="A130">
        <v>1280</v>
      </c>
      <c r="B130">
        <v>0.2</v>
      </c>
      <c r="C130">
        <v>6.9999999999999996E-10</v>
      </c>
      <c r="D130">
        <f t="shared" si="167"/>
        <v>0.99999999930000005</v>
      </c>
      <c r="E130">
        <f t="shared" ref="E130" si="205">SQRT(A130)</f>
        <v>35.777087639996637</v>
      </c>
      <c r="F130">
        <f t="shared" ref="F130" si="206">A130-1</f>
        <v>1279</v>
      </c>
      <c r="G130">
        <f>-_xlfn.T.INV(C130,F130)/E130</f>
        <v>0.17050993722985516</v>
      </c>
      <c r="H130">
        <f t="shared" ref="H130" si="207">G130-B130</f>
        <v>-2.9490062770144848E-2</v>
      </c>
      <c r="I130" s="2">
        <f>_xlfn.T.DIST.RT(E130*H130,F130)</f>
        <v>0.8542033862601992</v>
      </c>
      <c r="J130">
        <f>1-I130</f>
        <v>0.1457966137398008</v>
      </c>
      <c r="L130">
        <f>I130/C130</f>
        <v>1220290551.8002846</v>
      </c>
      <c r="M130">
        <f t="shared" ref="M130" si="208">LOG10(L130)</f>
        <v>9.086463248723943</v>
      </c>
      <c r="O130">
        <f>J130/D130</f>
        <v>0.14579661384185841</v>
      </c>
      <c r="P130">
        <f t="shared" ref="P130" si="209">LOG10(O130)</f>
        <v>-0.83625256248493718</v>
      </c>
      <c r="R130" s="4">
        <f>_xlfn.T.DIST.RT(E130*(G130-0.2),F130)</f>
        <v>0.8542033862601992</v>
      </c>
      <c r="S130">
        <f>R130*M130</f>
        <v>7.7616876761888429</v>
      </c>
      <c r="T130">
        <f>(1-R130)*P130</f>
        <v>-0.12192279184153501</v>
      </c>
      <c r="U130" s="2">
        <f>_xlfn.T.DIST.RT(E130*(G130-0.4),F130)</f>
        <v>0.99999999999999978</v>
      </c>
      <c r="V130">
        <f>U130*M130</f>
        <v>9.0864632487239412</v>
      </c>
      <c r="W130">
        <f>(1-U130)*P130</f>
        <v>-1.8568536985451293E-16</v>
      </c>
      <c r="X130" s="2">
        <f>_xlfn.T.DIST.RT(E130*(G130-0.8),F130)</f>
        <v>1</v>
      </c>
      <c r="Y130">
        <f>X130*M130</f>
        <v>9.086463248723943</v>
      </c>
      <c r="Z130">
        <f>(1-X130)*P130</f>
        <v>0</v>
      </c>
      <c r="AB130">
        <f>C130*M130</f>
        <v>6.3605242741067599E-9</v>
      </c>
      <c r="AC130">
        <f>D130*P130</f>
        <v>-0.83625256189956043</v>
      </c>
      <c r="AD130">
        <f>(C130+0.01)*M130</f>
        <v>9.0864638847763718E-2</v>
      </c>
      <c r="AE130">
        <f>(D130-0.01)*P130</f>
        <v>-0.82789003627471103</v>
      </c>
      <c r="AF130">
        <f>(C130+0.05)*M130</f>
        <v>0.45432316879672147</v>
      </c>
      <c r="AG130">
        <f>(D130-0.05)*P130</f>
        <v>-0.79443993377531352</v>
      </c>
      <c r="AH130">
        <f>(C130+0.1)*M130</f>
        <v>0.9086463312329186</v>
      </c>
      <c r="AI130">
        <f>(D130-0.1)*P130</f>
        <v>-0.75262730565106672</v>
      </c>
      <c r="AK130">
        <f t="shared" si="168"/>
        <v>7.6397648843473078</v>
      </c>
      <c r="AL130">
        <f t="shared" si="169"/>
        <v>9.0864632487239412</v>
      </c>
      <c r="AM130">
        <f t="shared" si="170"/>
        <v>9.086463248723943</v>
      </c>
      <c r="AN130">
        <f t="shared" si="171"/>
        <v>-0.8362525555390361</v>
      </c>
      <c r="AO130">
        <f t="shared" si="172"/>
        <v>-0.73702539742694728</v>
      </c>
      <c r="AP130">
        <f t="shared" si="173"/>
        <v>-0.34011676497859206</v>
      </c>
      <c r="AQ130">
        <f t="shared" si="187"/>
        <v>0.15601902558185188</v>
      </c>
    </row>
    <row r="131" spans="1:43" x14ac:dyDescent="0.3">
      <c r="A131">
        <v>1280</v>
      </c>
      <c r="B131">
        <v>0.2</v>
      </c>
      <c r="C131">
        <v>1E-10</v>
      </c>
      <c r="D131">
        <f t="shared" si="167"/>
        <v>0.99999999989999999</v>
      </c>
      <c r="E131">
        <f t="shared" si="164"/>
        <v>35.777087639996637</v>
      </c>
      <c r="F131">
        <f t="shared" si="165"/>
        <v>1279</v>
      </c>
      <c r="G131">
        <f>-_xlfn.T.INV(C131,F131)/E131</f>
        <v>0.17925610156735969</v>
      </c>
      <c r="H131">
        <f t="shared" si="166"/>
        <v>-2.0743898432640323E-2</v>
      </c>
      <c r="I131" s="2">
        <f>_xlfn.T.DIST.RT(E131*H131,F131)</f>
        <v>0.77093553742460741</v>
      </c>
      <c r="J131">
        <f>1-I131</f>
        <v>0.22906446257539259</v>
      </c>
      <c r="L131">
        <f>I131/C131</f>
        <v>7709355374.2460737</v>
      </c>
      <c r="M131">
        <f t="shared" ref="M131" si="210">LOG10(L131)</f>
        <v>9.8870180655850728</v>
      </c>
      <c r="O131">
        <f>J131/D131</f>
        <v>0.22906446259829905</v>
      </c>
      <c r="P131">
        <f t="shared" ref="P131" si="211">LOG10(O131)</f>
        <v>-0.64004228267704244</v>
      </c>
      <c r="R131" s="4">
        <f>_xlfn.T.DIST.RT(E131*(G131-0.2),F131)</f>
        <v>0.77093553742460741</v>
      </c>
      <c r="S131">
        <f>R131*M131</f>
        <v>7.6222535859186307</v>
      </c>
      <c r="T131">
        <f>(1-R131)*P131</f>
        <v>-0.14661094150694423</v>
      </c>
      <c r="U131" s="2">
        <f>_xlfn.T.DIST.RT(E131*(G131-0.4),F131)</f>
        <v>0.999999999999997</v>
      </c>
      <c r="V131">
        <f>U131*M131</f>
        <v>9.8870180655850426</v>
      </c>
      <c r="W131">
        <f>(1-U131)*P131</f>
        <v>-1.9185921331965779E-15</v>
      </c>
      <c r="X131" s="2">
        <f>_xlfn.T.DIST.RT(E131*(G131-0.8),F131)</f>
        <v>1</v>
      </c>
      <c r="Y131">
        <f>X131*M131</f>
        <v>9.8870180655850728</v>
      </c>
      <c r="Z131">
        <f>(1-X131)*P131</f>
        <v>0</v>
      </c>
      <c r="AB131">
        <f>C131*M131</f>
        <v>9.8870180655850731E-10</v>
      </c>
      <c r="AC131">
        <f>D131*P131</f>
        <v>-0.64004228261303819</v>
      </c>
      <c r="AD131">
        <f>(C131+0.01)*M131</f>
        <v>9.8870181644552538E-2</v>
      </c>
      <c r="AE131">
        <f>(D131-0.01)*P131</f>
        <v>-0.63364185978626775</v>
      </c>
      <c r="AF131">
        <f>(C131+0.05)*M131</f>
        <v>0.49435090426795547</v>
      </c>
      <c r="AG131">
        <f>(D131-0.05)*P131</f>
        <v>-0.60804016847918607</v>
      </c>
      <c r="AH131">
        <f>(C131+0.1)*M131</f>
        <v>0.98870180754720904</v>
      </c>
      <c r="AI131">
        <f>(D131-0.1)*P131</f>
        <v>-0.57603805434533395</v>
      </c>
      <c r="AK131">
        <f t="shared" si="168"/>
        <v>7.4756426444116864</v>
      </c>
      <c r="AL131">
        <f t="shared" si="169"/>
        <v>9.8870180655850408</v>
      </c>
      <c r="AM131">
        <f t="shared" si="170"/>
        <v>9.8870180655850728</v>
      </c>
      <c r="AN131">
        <f t="shared" si="171"/>
        <v>-0.64004228162433641</v>
      </c>
      <c r="AO131">
        <f t="shared" si="172"/>
        <v>-0.53477167814171522</v>
      </c>
      <c r="AP131">
        <f t="shared" si="173"/>
        <v>-0.1136892642112306</v>
      </c>
      <c r="AQ131">
        <f t="shared" si="187"/>
        <v>0.41266375320187509</v>
      </c>
    </row>
  </sheetData>
  <sortState xmlns:xlrd2="http://schemas.microsoft.com/office/spreadsheetml/2017/richdata2" ref="A2:V178">
    <sortCondition ref="A2:A178"/>
    <sortCondition descending="1" ref="C2:C17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01"/>
  <sheetViews>
    <sheetView zoomScale="70" zoomScaleNormal="70" workbookViewId="0"/>
  </sheetViews>
  <sheetFormatPr defaultRowHeight="14.4" x14ac:dyDescent="0.3"/>
  <cols>
    <col min="3" max="3" width="12" bestFit="1" customWidth="1"/>
    <col min="4" max="8" width="9.109375" customWidth="1"/>
    <col min="9" max="9" width="12" style="2" customWidth="1"/>
    <col min="10" max="10" width="9.109375" customWidth="1"/>
    <col min="12" max="17" width="9.109375" customWidth="1"/>
    <col min="18" max="18" width="10.44140625" style="4" customWidth="1"/>
    <col min="19" max="19" width="11.6640625" customWidth="1"/>
    <col min="20" max="20" width="11.5546875" customWidth="1"/>
    <col min="21" max="21" width="12" style="2" customWidth="1"/>
    <col min="22" max="23" width="9.109375" customWidth="1"/>
    <col min="24" max="24" width="12" style="2" customWidth="1"/>
    <col min="25" max="36" width="9.109375" customWidth="1"/>
    <col min="37" max="37" width="9" customWidth="1"/>
    <col min="40" max="40" width="11" customWidth="1"/>
  </cols>
  <sheetData>
    <row r="1" spans="1:43" x14ac:dyDescent="0.3">
      <c r="A1" t="s">
        <v>0</v>
      </c>
      <c r="B1" t="s">
        <v>66</v>
      </c>
      <c r="C1" t="s">
        <v>42</v>
      </c>
      <c r="D1" t="s">
        <v>59</v>
      </c>
      <c r="E1" t="s">
        <v>1</v>
      </c>
      <c r="F1" t="s">
        <v>2</v>
      </c>
      <c r="G1" t="s">
        <v>44</v>
      </c>
      <c r="H1" t="s">
        <v>63</v>
      </c>
      <c r="I1" s="2" t="s">
        <v>64</v>
      </c>
      <c r="J1" t="s">
        <v>65</v>
      </c>
      <c r="L1" t="s">
        <v>3</v>
      </c>
      <c r="M1" t="s">
        <v>4</v>
      </c>
      <c r="O1" t="s">
        <v>5</v>
      </c>
      <c r="P1" t="s">
        <v>6</v>
      </c>
      <c r="R1" s="4" t="s">
        <v>28</v>
      </c>
      <c r="S1" t="s">
        <v>7</v>
      </c>
      <c r="T1" t="s">
        <v>8</v>
      </c>
      <c r="U1" s="2" t="s">
        <v>29</v>
      </c>
      <c r="V1" t="s">
        <v>10</v>
      </c>
      <c r="W1" t="s">
        <v>11</v>
      </c>
      <c r="X1" s="2" t="s">
        <v>30</v>
      </c>
      <c r="Y1" t="s">
        <v>13</v>
      </c>
      <c r="Z1" t="s">
        <v>14</v>
      </c>
      <c r="AB1" t="s">
        <v>16</v>
      </c>
      <c r="AC1" t="s">
        <v>17</v>
      </c>
      <c r="AD1" t="s">
        <v>19</v>
      </c>
      <c r="AE1" t="s">
        <v>20</v>
      </c>
      <c r="AF1" t="s">
        <v>22</v>
      </c>
      <c r="AG1" t="s">
        <v>23</v>
      </c>
      <c r="AH1" t="s">
        <v>25</v>
      </c>
      <c r="AI1" t="s">
        <v>26</v>
      </c>
      <c r="AK1" t="s">
        <v>9</v>
      </c>
      <c r="AL1" t="s">
        <v>12</v>
      </c>
      <c r="AM1" t="s">
        <v>15</v>
      </c>
      <c r="AN1" t="s">
        <v>18</v>
      </c>
      <c r="AO1" t="s">
        <v>21</v>
      </c>
      <c r="AP1" t="s">
        <v>24</v>
      </c>
      <c r="AQ1" t="s">
        <v>27</v>
      </c>
    </row>
    <row r="2" spans="1:43" x14ac:dyDescent="0.3">
      <c r="A2">
        <v>5</v>
      </c>
      <c r="B2">
        <v>0.4</v>
      </c>
      <c r="C2">
        <v>0.5</v>
      </c>
      <c r="D2">
        <f t="shared" ref="D2:D29" si="0">1-C2</f>
        <v>0.5</v>
      </c>
      <c r="E2">
        <f t="shared" ref="E2:E17" si="1">SQRT(A2)</f>
        <v>2.2360679774997898</v>
      </c>
      <c r="F2">
        <f t="shared" ref="F2:F17" si="2">A2-1</f>
        <v>4</v>
      </c>
      <c r="G2">
        <f t="shared" ref="G2:G17" si="3">-_xlfn.T.INV(C2,F2)/E2</f>
        <v>0</v>
      </c>
      <c r="H2">
        <f t="shared" ref="H2:H17" si="4">G2-B2</f>
        <v>-0.4</v>
      </c>
      <c r="I2" s="2">
        <f>_xlfn.T.DIST.RT(E2*H2,F2)</f>
        <v>0.78917587241190279</v>
      </c>
      <c r="J2">
        <f>1-I2</f>
        <v>0.21082412758809721</v>
      </c>
      <c r="L2">
        <f>I2/C2</f>
        <v>1.5783517448238056</v>
      </c>
      <c r="M2">
        <f t="shared" ref="M2:M29" si="5">LOG10(L2)</f>
        <v>0.19820379469908836</v>
      </c>
      <c r="O2">
        <f>J2/D2</f>
        <v>0.42164825517619442</v>
      </c>
      <c r="P2">
        <f t="shared" ref="P2:P29" si="6">LOG10(O2)</f>
        <v>-0.37504969248835085</v>
      </c>
      <c r="R2" s="4">
        <f>_xlfn.T.DIST.RT(E2*(G2-0.2),F2)</f>
        <v>0.66106558565037532</v>
      </c>
      <c r="S2">
        <f>R2*M2</f>
        <v>0.13102570762087959</v>
      </c>
      <c r="T2">
        <f>(1-R2)*P2</f>
        <v>-0.12711724787554601</v>
      </c>
      <c r="U2" s="2">
        <f>_xlfn.T.DIST.RT(E2*(G2-0.4),F2)</f>
        <v>0.78917587241190279</v>
      </c>
      <c r="V2">
        <f>U2*M2</f>
        <v>0.15641765259700274</v>
      </c>
      <c r="W2">
        <f>(1-U2)*P2</f>
        <v>-7.9069524221040702E-2</v>
      </c>
      <c r="X2" s="2">
        <f>_xlfn.T.DIST.RT(E2*(G2-0.8),F2)</f>
        <v>0.92592592592592604</v>
      </c>
      <c r="Y2">
        <f>X2*M2</f>
        <v>0.18352203212878554</v>
      </c>
      <c r="Z2">
        <f>(1-X2)*P2</f>
        <v>-2.778145870284076E-2</v>
      </c>
      <c r="AB2">
        <f>C2*M2</f>
        <v>9.910189734954418E-2</v>
      </c>
      <c r="AC2">
        <f>D2*P2</f>
        <v>-0.18752484624417542</v>
      </c>
      <c r="AD2">
        <f>(C2+0.01)*M2</f>
        <v>0.10108393529653506</v>
      </c>
      <c r="AE2">
        <f>(D2-0.01)*P2</f>
        <v>-0.1837743493192919</v>
      </c>
      <c r="AF2">
        <f>(C2+0.05)*M2</f>
        <v>0.10901208708449861</v>
      </c>
      <c r="AG2">
        <f>(D2-0.05)*P2</f>
        <v>-0.16877236161975789</v>
      </c>
      <c r="AH2">
        <f>(C2+0.1)*M2</f>
        <v>0.11892227681945301</v>
      </c>
      <c r="AI2">
        <f>(D2-0.1)*P2</f>
        <v>-0.15001987699534036</v>
      </c>
      <c r="AK2">
        <f>S2+T2</f>
        <v>3.9084597453335757E-3</v>
      </c>
      <c r="AL2">
        <f>V2+W2</f>
        <v>7.7348128375962041E-2</v>
      </c>
      <c r="AM2">
        <f t="shared" ref="AM2:AM29" si="7">Y2+Z2</f>
        <v>0.15574057342594477</v>
      </c>
      <c r="AN2">
        <f t="shared" ref="AN2:AN29" si="8">AB2+AC2</f>
        <v>-8.8422948894631245E-2</v>
      </c>
      <c r="AO2">
        <f t="shared" ref="AO2:AO29" si="9">AD2+AE2</f>
        <v>-8.2690414022756842E-2</v>
      </c>
      <c r="AP2">
        <f t="shared" ref="AP2:AP29" si="10">AF2+AG2</f>
        <v>-5.9760274535259283E-2</v>
      </c>
      <c r="AQ2">
        <f>AH2+AI2</f>
        <v>-3.1097600175887349E-2</v>
      </c>
    </row>
    <row r="3" spans="1:43" x14ac:dyDescent="0.3">
      <c r="A3">
        <v>5</v>
      </c>
      <c r="B3">
        <v>0.4</v>
      </c>
      <c r="C3">
        <v>0.29892134999999997</v>
      </c>
      <c r="D3">
        <f t="shared" si="0"/>
        <v>0.70107865000000003</v>
      </c>
      <c r="E3">
        <f t="shared" si="1"/>
        <v>2.2360679774997898</v>
      </c>
      <c r="F3">
        <f t="shared" si="2"/>
        <v>4</v>
      </c>
      <c r="G3">
        <f t="shared" si="3"/>
        <v>0.25587170632179368</v>
      </c>
      <c r="H3">
        <f t="shared" si="4"/>
        <v>-0.14412829367820634</v>
      </c>
      <c r="I3" s="2">
        <f>_xlfn.T.DIST.RT(E3*H3,F3)</f>
        <v>0.61830949151761383</v>
      </c>
      <c r="J3">
        <f>1-I3</f>
        <v>0.38169050848238617</v>
      </c>
      <c r="L3">
        <f>I3/C3</f>
        <v>2.0684688180272635</v>
      </c>
      <c r="M3">
        <f t="shared" si="5"/>
        <v>0.31564897833244121</v>
      </c>
      <c r="O3">
        <f>J3/D3</f>
        <v>0.54443322226741064</v>
      </c>
      <c r="P3">
        <f t="shared" si="6"/>
        <v>-0.26405538125124267</v>
      </c>
      <c r="R3" s="4">
        <f>_xlfn.T.DIST.RT(E3*(G3-0.2),F3)</f>
        <v>0.45330187083612283</v>
      </c>
      <c r="S3">
        <f>R3*M3</f>
        <v>0.14308427240560639</v>
      </c>
      <c r="T3">
        <f>(1-R3)*P3</f>
        <v>-0.14435858292570869</v>
      </c>
      <c r="U3" s="2">
        <f>_xlfn.T.DIST.RT(E3*(G3-0.4),F3)</f>
        <v>0.61830949151761383</v>
      </c>
      <c r="V3">
        <f>U3*M3</f>
        <v>0.19516875929078603</v>
      </c>
      <c r="W3">
        <f>(1-U3)*P3</f>
        <v>-0.10078743273729715</v>
      </c>
      <c r="X3" s="2">
        <f>_xlfn.T.DIST.RT(E3*(G3-0.8),F3)</f>
        <v>0.85470236846521219</v>
      </c>
      <c r="Y3">
        <f>X3*M3</f>
        <v>0.26978592938436197</v>
      </c>
      <c r="Z3">
        <f>(1-X3)*P3</f>
        <v>-3.8366621489820972E-2</v>
      </c>
      <c r="AB3">
        <f>C3*M3</f>
        <v>9.4354218729254064E-2</v>
      </c>
      <c r="AC3">
        <f>D3*P3</f>
        <v>-0.18512359021285654</v>
      </c>
      <c r="AD3">
        <f>(C3+0.01)*M3</f>
        <v>9.7510708512578481E-2</v>
      </c>
      <c r="AE3">
        <f>(D3-0.01)*P3</f>
        <v>-0.18248303640034411</v>
      </c>
      <c r="AF3">
        <f>(C3+0.05)*M3</f>
        <v>0.11013666764587612</v>
      </c>
      <c r="AG3">
        <f>(D3-0.05)*P3</f>
        <v>-0.17192082115029439</v>
      </c>
      <c r="AH3">
        <f>(C3+0.1)*M3</f>
        <v>0.12591911656249818</v>
      </c>
      <c r="AI3">
        <f>(D3-0.1)*P3</f>
        <v>-0.15871805208773226</v>
      </c>
      <c r="AK3">
        <f>S3+T3</f>
        <v>-1.2743105201022953E-3</v>
      </c>
      <c r="AL3">
        <f>V3+W3</f>
        <v>9.4381326553488881E-2</v>
      </c>
      <c r="AM3">
        <f t="shared" si="7"/>
        <v>0.23141930789454099</v>
      </c>
      <c r="AN3">
        <f t="shared" si="8"/>
        <v>-9.0769371483602479E-2</v>
      </c>
      <c r="AO3">
        <f t="shared" si="9"/>
        <v>-8.4972327887765625E-2</v>
      </c>
      <c r="AP3">
        <f t="shared" si="10"/>
        <v>-6.1784153504418265E-2</v>
      </c>
      <c r="AQ3">
        <f t="shared" ref="AQ3:AQ58" si="11">AH3+AI3</f>
        <v>-3.279893552523408E-2</v>
      </c>
    </row>
    <row r="4" spans="1:43" x14ac:dyDescent="0.3">
      <c r="A4">
        <v>5</v>
      </c>
      <c r="B4">
        <v>0.4</v>
      </c>
      <c r="C4">
        <v>0.2</v>
      </c>
      <c r="D4">
        <f t="shared" si="0"/>
        <v>0.8</v>
      </c>
      <c r="E4">
        <f t="shared" si="1"/>
        <v>2.2360679774997898</v>
      </c>
      <c r="F4">
        <f t="shared" si="2"/>
        <v>4</v>
      </c>
      <c r="G4">
        <f t="shared" si="3"/>
        <v>0.42081215182344295</v>
      </c>
      <c r="H4">
        <f t="shared" si="4"/>
        <v>2.0812151823442926E-2</v>
      </c>
      <c r="I4" s="2">
        <f>_xlfn.T.DIST.RT(E4*H4,F4)</f>
        <v>0.48255634969852934</v>
      </c>
      <c r="J4">
        <f>1-I4</f>
        <v>0.51744365030147066</v>
      </c>
      <c r="L4">
        <f>I4/C4</f>
        <v>2.4127817484926464</v>
      </c>
      <c r="M4">
        <f t="shared" si="5"/>
        <v>0.38251803897793013</v>
      </c>
      <c r="O4">
        <f>J4/D4</f>
        <v>0.6468045628768383</v>
      </c>
      <c r="P4">
        <f t="shared" si="6"/>
        <v>-0.18922692502840277</v>
      </c>
      <c r="R4" s="4">
        <f>_xlfn.T.DIST.RT(E4*(G4-0.2),F4)</f>
        <v>0.32368249406830352</v>
      </c>
      <c r="S4">
        <f>R4*M4</f>
        <v>0.12381439288249296</v>
      </c>
      <c r="T4">
        <f>(1-R4)*P4</f>
        <v>-0.12797748199033349</v>
      </c>
      <c r="U4" s="2">
        <f>_xlfn.T.DIST.RT(E4*(G4-0.4),F4)</f>
        <v>0.48255634969852934</v>
      </c>
      <c r="V4">
        <f>U4*M4</f>
        <v>0.18458650858302972</v>
      </c>
      <c r="W4">
        <f>(1-U4)*P4</f>
        <v>-9.791427082201945E-2</v>
      </c>
      <c r="X4" s="2">
        <f>_xlfn.T.DIST.RT(E4*(G4-0.8),F4)</f>
        <v>0.77787224946561195</v>
      </c>
      <c r="Y4">
        <f>X4*M4</f>
        <v>0.29755016744093715</v>
      </c>
      <c r="Z4">
        <f>(1-X4)*P4</f>
        <v>-4.2032551197098401E-2</v>
      </c>
      <c r="AB4">
        <f>C4*M4</f>
        <v>7.6503607795586029E-2</v>
      </c>
      <c r="AC4">
        <f>D4*P4</f>
        <v>-0.15138154002272222</v>
      </c>
      <c r="AD4">
        <f>(C4+0.01)*M4</f>
        <v>8.0328788185365332E-2</v>
      </c>
      <c r="AE4">
        <f>(D4-0.01)*P4</f>
        <v>-0.1494892707724382</v>
      </c>
      <c r="AF4">
        <f>(C4+0.05)*M4</f>
        <v>9.5629509744482533E-2</v>
      </c>
      <c r="AG4">
        <f>(D4-0.05)*P4</f>
        <v>-0.14192019377130208</v>
      </c>
      <c r="AH4">
        <f>(C4+0.1)*M4</f>
        <v>0.11475541169337905</v>
      </c>
      <c r="AI4">
        <f>(D4-0.1)*P4</f>
        <v>-0.13245884751988196</v>
      </c>
      <c r="AK4">
        <f>S4+T4</f>
        <v>-4.163089107840523E-3</v>
      </c>
      <c r="AL4">
        <f>V4+W4</f>
        <v>8.6672237761010268E-2</v>
      </c>
      <c r="AM4">
        <f t="shared" si="7"/>
        <v>0.25551761624383873</v>
      </c>
      <c r="AN4">
        <f t="shared" si="8"/>
        <v>-7.4877932227136193E-2</v>
      </c>
      <c r="AO4">
        <f t="shared" si="9"/>
        <v>-6.9160482587072872E-2</v>
      </c>
      <c r="AP4">
        <f t="shared" si="10"/>
        <v>-4.6290684026819545E-2</v>
      </c>
      <c r="AQ4">
        <f t="shared" si="11"/>
        <v>-1.7703435826502911E-2</v>
      </c>
    </row>
    <row r="5" spans="1:43" x14ac:dyDescent="0.3">
      <c r="A5">
        <v>5</v>
      </c>
      <c r="B5">
        <v>0.4</v>
      </c>
      <c r="C5">
        <v>0.1</v>
      </c>
      <c r="D5">
        <f t="shared" si="0"/>
        <v>0.9</v>
      </c>
      <c r="E5">
        <f t="shared" si="1"/>
        <v>2.2360679774997898</v>
      </c>
      <c r="F5">
        <f t="shared" si="2"/>
        <v>4</v>
      </c>
      <c r="G5">
        <f t="shared" si="3"/>
        <v>0.68567069046499429</v>
      </c>
      <c r="H5">
        <f t="shared" si="4"/>
        <v>0.28567069046499427</v>
      </c>
      <c r="I5" s="2">
        <f>_xlfn.T.DIST.RT(E5*H5,F5)</f>
        <v>0.27885469810285812</v>
      </c>
      <c r="J5">
        <f>1-I5</f>
        <v>0.72114530189714188</v>
      </c>
      <c r="L5">
        <f>I5/C5</f>
        <v>2.7885469810285812</v>
      </c>
      <c r="M5">
        <f t="shared" si="5"/>
        <v>0.4453779658186458</v>
      </c>
      <c r="O5">
        <f>J5/D5</f>
        <v>0.80127255766349093</v>
      </c>
      <c r="P5">
        <f t="shared" si="6"/>
        <v>-9.6219730913527937E-2</v>
      </c>
      <c r="R5" s="4">
        <f>_xlfn.T.DIST.RT(E5*(G5-0.2),F5)</f>
        <v>0.16927488736668583</v>
      </c>
      <c r="S5">
        <f>R5*M5</f>
        <v>7.5391304999554917E-2</v>
      </c>
      <c r="T5">
        <f>(1-R5)*P5</f>
        <v>-7.9932146800687678E-2</v>
      </c>
      <c r="U5" s="2">
        <f>_xlfn.T.DIST.RT(E5*(G5-0.4),F5)</f>
        <v>0.27885469810285812</v>
      </c>
      <c r="V5">
        <f>U5*M5</f>
        <v>0.12419573820002354</v>
      </c>
      <c r="W5">
        <f>(1-U5)*P5</f>
        <v>-6.938840689809786E-2</v>
      </c>
      <c r="X5" s="2">
        <f>_xlfn.T.DIST.RT(E5*(G5-0.8),F5)</f>
        <v>0.59458472684538255</v>
      </c>
      <c r="Y5">
        <f>X5*M5</f>
        <v>0.26481493614923163</v>
      </c>
      <c r="Z5">
        <f>(1-X5)*P5</f>
        <v>-3.9008948491171716E-2</v>
      </c>
      <c r="AB5">
        <f>C5*M5</f>
        <v>4.4537796581864582E-2</v>
      </c>
      <c r="AC5">
        <f>D5*P5</f>
        <v>-8.6597757822175145E-2</v>
      </c>
      <c r="AD5">
        <f>(C5+0.01)*M5</f>
        <v>4.8991576240051037E-2</v>
      </c>
      <c r="AE5">
        <f>(D5-0.01)*P5</f>
        <v>-8.563556051303986E-2</v>
      </c>
      <c r="AF5">
        <f>(C5+0.05)*M5</f>
        <v>6.6806694872796876E-2</v>
      </c>
      <c r="AG5">
        <f>(D5-0.05)*P5</f>
        <v>-8.1786771276498749E-2</v>
      </c>
      <c r="AH5">
        <f>(C5+0.1)*M5</f>
        <v>8.9075593163729164E-2</v>
      </c>
      <c r="AI5">
        <f>(D5-0.1)*P5</f>
        <v>-7.6975784730822353E-2</v>
      </c>
      <c r="AK5">
        <f>S5+T5</f>
        <v>-4.5408418011327611E-3</v>
      </c>
      <c r="AL5">
        <f>V5+W5</f>
        <v>5.480733130192568E-2</v>
      </c>
      <c r="AM5">
        <f t="shared" si="7"/>
        <v>0.22580598765805993</v>
      </c>
      <c r="AN5">
        <f t="shared" si="8"/>
        <v>-4.2059961240310563E-2</v>
      </c>
      <c r="AO5">
        <f t="shared" si="9"/>
        <v>-3.6643984272988823E-2</v>
      </c>
      <c r="AP5">
        <f t="shared" si="10"/>
        <v>-1.4980076403701872E-2</v>
      </c>
      <c r="AQ5">
        <f t="shared" si="11"/>
        <v>1.2099808432906811E-2</v>
      </c>
    </row>
    <row r="6" spans="1:43" x14ac:dyDescent="0.3">
      <c r="A6">
        <v>5</v>
      </c>
      <c r="B6">
        <v>0.4</v>
      </c>
      <c r="C6">
        <v>0.05</v>
      </c>
      <c r="D6">
        <f t="shared" si="0"/>
        <v>0.95</v>
      </c>
      <c r="E6">
        <f t="shared" si="1"/>
        <v>2.2360679774997898</v>
      </c>
      <c r="F6">
        <f t="shared" si="2"/>
        <v>4</v>
      </c>
      <c r="G6">
        <f t="shared" si="3"/>
        <v>0.95339086636817161</v>
      </c>
      <c r="H6">
        <f t="shared" si="4"/>
        <v>0.55339086636817159</v>
      </c>
      <c r="I6" s="2">
        <f>_xlfn.T.DIST.RT(E6*H6,F6)</f>
        <v>0.14180320554456149</v>
      </c>
      <c r="J6">
        <f>1-I6</f>
        <v>0.85819679445543851</v>
      </c>
      <c r="L6">
        <f>I6/C6</f>
        <v>2.8360641108912299</v>
      </c>
      <c r="M6">
        <f t="shared" si="5"/>
        <v>0.45271604410326621</v>
      </c>
      <c r="O6">
        <f>J6/D6</f>
        <v>0.90336504679519847</v>
      </c>
      <c r="P6">
        <f t="shared" si="6"/>
        <v>-4.4136717269909129E-2</v>
      </c>
      <c r="R6" s="4">
        <f>_xlfn.T.DIST.RT(E6*(G6-0.2),F6)</f>
        <v>8.3671427109241539E-2</v>
      </c>
      <c r="S6">
        <f>R6*M6</f>
        <v>3.7879397485370614E-2</v>
      </c>
      <c r="T6">
        <f>(1-R6)*P6</f>
        <v>-4.0443735148018724E-2</v>
      </c>
      <c r="U6" s="2">
        <f>_xlfn.T.DIST.RT(E6*(G6-0.4),F6)</f>
        <v>0.14180320554456149</v>
      </c>
      <c r="V6">
        <f>U6*M6</f>
        <v>6.4196586255296229E-2</v>
      </c>
      <c r="W6">
        <f>(1-U6)*P6</f>
        <v>-3.7877989278822008E-2</v>
      </c>
      <c r="X6" s="2">
        <f>_xlfn.T.DIST.RT(E6*(G6-0.8),F6)</f>
        <v>0.37443588731063271</v>
      </c>
      <c r="Y6">
        <f>X6*M6</f>
        <v>0.16951313367356602</v>
      </c>
      <c r="Z6">
        <f>(1-X6)*P6</f>
        <v>-2.7610346375972178E-2</v>
      </c>
      <c r="AB6">
        <f>C6*M6</f>
        <v>2.2635802205163313E-2</v>
      </c>
      <c r="AC6">
        <f>D6*P6</f>
        <v>-4.1929881406413669E-2</v>
      </c>
      <c r="AD6">
        <f>(C6+0.01)*M6</f>
        <v>2.7162962646195974E-2</v>
      </c>
      <c r="AE6">
        <f>(D6-0.01)*P6</f>
        <v>-4.148851423371458E-2</v>
      </c>
      <c r="AF6">
        <f>(C6+0.05)*M6</f>
        <v>4.5271604410326627E-2</v>
      </c>
      <c r="AG6">
        <f>(D6-0.05)*P6</f>
        <v>-3.9723045542918209E-2</v>
      </c>
      <c r="AH6">
        <f>(C6+0.1)*M6</f>
        <v>6.790740661548994E-2</v>
      </c>
      <c r="AI6">
        <f>(D6-0.1)*P6</f>
        <v>-3.7516209679422756E-2</v>
      </c>
      <c r="AK6">
        <f>S6+T6</f>
        <v>-2.5643376626481099E-3</v>
      </c>
      <c r="AL6">
        <f>V6+W6</f>
        <v>2.6318596976474221E-2</v>
      </c>
      <c r="AM6">
        <f t="shared" si="7"/>
        <v>0.14190278729759384</v>
      </c>
      <c r="AN6">
        <f t="shared" si="8"/>
        <v>-1.9294079201250355E-2</v>
      </c>
      <c r="AO6">
        <f t="shared" si="9"/>
        <v>-1.4325551587518606E-2</v>
      </c>
      <c r="AP6">
        <f t="shared" si="10"/>
        <v>5.548558867408418E-3</v>
      </c>
      <c r="AQ6">
        <f t="shared" si="11"/>
        <v>3.0391196936067184E-2</v>
      </c>
    </row>
    <row r="7" spans="1:43" x14ac:dyDescent="0.3">
      <c r="A7">
        <v>5</v>
      </c>
      <c r="B7">
        <v>0.4</v>
      </c>
      <c r="C7">
        <v>0.02</v>
      </c>
      <c r="D7">
        <f t="shared" si="0"/>
        <v>0.98</v>
      </c>
      <c r="E7">
        <f t="shared" si="1"/>
        <v>2.2360679774997898</v>
      </c>
      <c r="F7">
        <f t="shared" si="2"/>
        <v>4</v>
      </c>
      <c r="G7">
        <f t="shared" si="3"/>
        <v>1.3409824313835594</v>
      </c>
      <c r="H7">
        <f t="shared" si="4"/>
        <v>0.94098243138355941</v>
      </c>
      <c r="I7" s="2">
        <f>_xlfn.T.DIST.RT(E7*H7,F7)</f>
        <v>5.1587346773211966E-2</v>
      </c>
      <c r="J7">
        <f>1-I7</f>
        <v>0.94841265322678803</v>
      </c>
      <c r="L7">
        <f>I7/C7</f>
        <v>2.5793673386605982</v>
      </c>
      <c r="M7">
        <f t="shared" si="5"/>
        <v>0.41151319626467314</v>
      </c>
      <c r="O7">
        <f>J7/D7</f>
        <v>0.96776801349672248</v>
      </c>
      <c r="P7">
        <f t="shared" si="6"/>
        <v>-1.4228736217307065E-2</v>
      </c>
      <c r="R7" s="4">
        <f>_xlfn.T.DIST.RT(E7*(G7-0.2),F7)</f>
        <v>3.1608623915069411E-2</v>
      </c>
      <c r="S7">
        <f>R7*M7</f>
        <v>1.30073658568182E-2</v>
      </c>
      <c r="T7">
        <f>(1-R7)*P7</f>
        <v>-1.3778985445427478E-2</v>
      </c>
      <c r="U7" s="2">
        <f>_xlfn.T.DIST.RT(E7*(G7-0.4),F7)</f>
        <v>5.1587346773211966E-2</v>
      </c>
      <c r="V7">
        <f>U7*M7</f>
        <v>2.1228873957458528E-2</v>
      </c>
      <c r="W7">
        <f>(1-U7)*P7</f>
        <v>-1.3494713467920286E-2</v>
      </c>
      <c r="X7" s="2">
        <f>_xlfn.T.DIST.RT(E7*(G7-0.8),F7)</f>
        <v>0.14650287523306982</v>
      </c>
      <c r="Y7">
        <f>X7*M7</f>
        <v>6.0287866449125184E-2</v>
      </c>
      <c r="Z7">
        <f>(1-X7)*P7</f>
        <v>-1.2144185450538667E-2</v>
      </c>
      <c r="AB7">
        <f>C7*M7</f>
        <v>8.2302639252934632E-3</v>
      </c>
      <c r="AC7">
        <f>D7*P7</f>
        <v>-1.3944161492960924E-2</v>
      </c>
      <c r="AD7">
        <f>(C7+0.01)*M7</f>
        <v>1.2345395887940194E-2</v>
      </c>
      <c r="AE7">
        <f>(D7-0.01)*P7</f>
        <v>-1.3801874130787853E-2</v>
      </c>
      <c r="AF7">
        <f>(C7+0.05)*M7</f>
        <v>2.8805923738527122E-2</v>
      </c>
      <c r="AG7">
        <f>(D7-0.05)*P7</f>
        <v>-1.3232724682095571E-2</v>
      </c>
      <c r="AH7">
        <f>(C7+0.1)*M7</f>
        <v>4.9381583551760783E-2</v>
      </c>
      <c r="AI7">
        <f>(D7-0.1)*P7</f>
        <v>-1.2521287871230217E-2</v>
      </c>
      <c r="AK7">
        <f>S7+T7</f>
        <v>-7.716195886092788E-4</v>
      </c>
      <c r="AL7">
        <f>V7+W7</f>
        <v>7.7341604895382419E-3</v>
      </c>
      <c r="AM7">
        <f t="shared" si="7"/>
        <v>4.8143680998586513E-2</v>
      </c>
      <c r="AN7">
        <f t="shared" si="8"/>
        <v>-5.7138975676674607E-3</v>
      </c>
      <c r="AO7">
        <f t="shared" si="9"/>
        <v>-1.4564782428476593E-3</v>
      </c>
      <c r="AP7">
        <f t="shared" si="10"/>
        <v>1.5573199056431552E-2</v>
      </c>
      <c r="AQ7">
        <f t="shared" si="11"/>
        <v>3.6860295680530564E-2</v>
      </c>
    </row>
    <row r="8" spans="1:43" x14ac:dyDescent="0.3">
      <c r="A8">
        <v>5</v>
      </c>
      <c r="B8">
        <v>0.4</v>
      </c>
      <c r="C8">
        <v>0.01</v>
      </c>
      <c r="D8">
        <f t="shared" si="0"/>
        <v>0.99</v>
      </c>
      <c r="E8">
        <f t="shared" si="1"/>
        <v>2.2360679774997898</v>
      </c>
      <c r="F8">
        <f t="shared" si="2"/>
        <v>4</v>
      </c>
      <c r="G8">
        <f t="shared" si="3"/>
        <v>1.6756858135273525</v>
      </c>
      <c r="H8">
        <f t="shared" si="4"/>
        <v>1.2756858135273523</v>
      </c>
      <c r="I8" s="2">
        <f>_xlfn.T.DIST.RT(E8*H8,F8)</f>
        <v>2.3138881994467318E-2</v>
      </c>
      <c r="J8">
        <f>1-I8</f>
        <v>0.97686111800553266</v>
      </c>
      <c r="L8">
        <f>I8/C8</f>
        <v>2.3138881994467315</v>
      </c>
      <c r="M8">
        <f t="shared" si="5"/>
        <v>0.36434237123788099</v>
      </c>
      <c r="O8">
        <f>J8/D8</f>
        <v>0.9867284020257906</v>
      </c>
      <c r="P8">
        <f t="shared" si="6"/>
        <v>-5.8023708697911708E-3</v>
      </c>
      <c r="R8" s="4">
        <f>_xlfn.T.DIST.RT(E8*(G8-0.2),F8)</f>
        <v>1.4970444511258471E-2</v>
      </c>
      <c r="S8">
        <f>R8*M8</f>
        <v>5.4543672517170317E-3</v>
      </c>
      <c r="T8">
        <f>(1-R8)*P8</f>
        <v>-5.7155067986512193E-3</v>
      </c>
      <c r="U8" s="2">
        <f>_xlfn.T.DIST.RT(E8*(G8-0.4),F8)</f>
        <v>2.3138881994467318E-2</v>
      </c>
      <c r="V8">
        <f>U8*M8</f>
        <v>8.4304751336577322E-3</v>
      </c>
      <c r="W8">
        <f>(1-U8)*P8</f>
        <v>-5.6681104949469381E-3</v>
      </c>
      <c r="X8" s="2">
        <f>_xlfn.T.DIST.RT(E8*(G8-0.8),F8)</f>
        <v>6.0910376543346148E-2</v>
      </c>
      <c r="Y8">
        <f>X8*M8</f>
        <v>2.2192231022794939E-2</v>
      </c>
      <c r="Z8">
        <f>(1-X8)*P8</f>
        <v>-5.4489462752680476E-3</v>
      </c>
      <c r="AB8">
        <f>C8*M8</f>
        <v>3.6434237123788098E-3</v>
      </c>
      <c r="AC8">
        <f>D8*P8</f>
        <v>-5.7443471610932589E-3</v>
      </c>
      <c r="AD8">
        <f>(C8+0.01)*M8</f>
        <v>7.2868474247576196E-3</v>
      </c>
      <c r="AE8">
        <f>(D8-0.01)*P8</f>
        <v>-5.686323452395347E-3</v>
      </c>
      <c r="AF8">
        <f>(C8+0.05)*M8</f>
        <v>2.1860542274272862E-2</v>
      </c>
      <c r="AG8">
        <f>(D8-0.05)*P8</f>
        <v>-5.4542286176037002E-3</v>
      </c>
      <c r="AH8">
        <f>(C8+0.1)*M8</f>
        <v>4.0077660836166908E-2</v>
      </c>
      <c r="AI8">
        <f>(D8-0.1)*P8</f>
        <v>-5.1641100741141423E-3</v>
      </c>
      <c r="AK8">
        <f>S8+T8</f>
        <v>-2.6113954693418769E-4</v>
      </c>
      <c r="AL8">
        <f>V8+W8</f>
        <v>2.7623646387107941E-3</v>
      </c>
      <c r="AM8">
        <f t="shared" si="7"/>
        <v>1.6743284747526892E-2</v>
      </c>
      <c r="AN8">
        <f t="shared" si="8"/>
        <v>-2.100923448714449E-3</v>
      </c>
      <c r="AO8">
        <f t="shared" si="9"/>
        <v>1.6005239723622727E-3</v>
      </c>
      <c r="AP8">
        <f t="shared" si="10"/>
        <v>1.6406313656669162E-2</v>
      </c>
      <c r="AQ8">
        <f t="shared" si="11"/>
        <v>3.4913550762052763E-2</v>
      </c>
    </row>
    <row r="9" spans="1:43" x14ac:dyDescent="0.3">
      <c r="A9">
        <v>5</v>
      </c>
      <c r="B9">
        <v>0.4</v>
      </c>
      <c r="C9">
        <v>5.0000000000000001E-3</v>
      </c>
      <c r="D9">
        <f t="shared" ref="D9" si="12">1-C9</f>
        <v>0.995</v>
      </c>
      <c r="E9">
        <f t="shared" ref="E9" si="13">SQRT(A9)</f>
        <v>2.2360679774997898</v>
      </c>
      <c r="F9">
        <f t="shared" ref="F9" si="14">A9-1</f>
        <v>4</v>
      </c>
      <c r="G9">
        <f t="shared" ref="G9" si="15">-_xlfn.T.INV(C9,F9)/E9</f>
        <v>2.0590138214393465</v>
      </c>
      <c r="H9">
        <f t="shared" ref="H9" si="16">G9-B9</f>
        <v>1.6590138214393466</v>
      </c>
      <c r="I9" s="2">
        <f>_xlfn.T.DIST.RT(E9*H9,F9)</f>
        <v>1.0330016398522594E-2</v>
      </c>
      <c r="J9">
        <f>1-I9</f>
        <v>0.9896699836014774</v>
      </c>
      <c r="L9">
        <f>I9/C9</f>
        <v>2.0660032797045189</v>
      </c>
      <c r="M9">
        <f t="shared" ref="M9" si="17">LOG10(L9)</f>
        <v>0.31513100661072874</v>
      </c>
      <c r="O9">
        <f>J9/D9</f>
        <v>0.99464319959947478</v>
      </c>
      <c r="P9">
        <f t="shared" ref="P9" si="18">LOG10(O9)</f>
        <v>-2.3326823044347335E-3</v>
      </c>
      <c r="R9" s="4">
        <f>_xlfn.T.DIST.RT(E9*(G9-0.2),F9)</f>
        <v>7.0904777439126159E-3</v>
      </c>
      <c r="S9">
        <f>R9*M9</f>
        <v>2.2344293887901516E-3</v>
      </c>
      <c r="T9">
        <f>(1-R9)*P9</f>
        <v>-2.3161424724715204E-3</v>
      </c>
      <c r="U9" s="2">
        <f>_xlfn.T.DIST.RT(E9*(G9-0.4),F9)</f>
        <v>1.0330016398522594E-2</v>
      </c>
      <c r="V9">
        <f>U9*M9</f>
        <v>3.25530846597176E-3</v>
      </c>
      <c r="W9">
        <f>(1-U9)*P9</f>
        <v>-2.3085856579773793E-3</v>
      </c>
      <c r="X9" s="2">
        <f>_xlfn.T.DIST.RT(E9*(G9-0.8),F9)</f>
        <v>2.4030027949376219E-2</v>
      </c>
      <c r="Y9">
        <f>X9*M9</f>
        <v>7.5726068965708739E-3</v>
      </c>
      <c r="Z9">
        <f>(1-X9)*P9</f>
        <v>-2.2766278834621513E-3</v>
      </c>
      <c r="AB9">
        <f>C9*M9</f>
        <v>1.5756550330536436E-3</v>
      </c>
      <c r="AC9">
        <f>D9*P9</f>
        <v>-2.3210188929125596E-3</v>
      </c>
      <c r="AD9">
        <f>(C9+0.01)*M9</f>
        <v>4.7269650991609308E-3</v>
      </c>
      <c r="AE9">
        <f>(D9-0.01)*P9</f>
        <v>-2.2976920698682124E-3</v>
      </c>
      <c r="AF9">
        <f>(C9+0.05)*M9</f>
        <v>1.7332205363590081E-2</v>
      </c>
      <c r="AG9">
        <f>(D9-0.05)*P9</f>
        <v>-2.204384777690823E-3</v>
      </c>
      <c r="AH9">
        <f>(C9+0.1)*M9</f>
        <v>3.3088755694126518E-2</v>
      </c>
      <c r="AI9">
        <f>(D9-0.1)*P9</f>
        <v>-2.0877506624690863E-3</v>
      </c>
      <c r="AK9">
        <f>S9+T9</f>
        <v>-8.1713083681368877E-5</v>
      </c>
      <c r="AL9">
        <f>V9+W9</f>
        <v>9.4672280799438071E-4</v>
      </c>
      <c r="AM9">
        <f t="shared" ref="AM9" si="19">Y9+Z9</f>
        <v>5.2959790131087226E-3</v>
      </c>
      <c r="AN9">
        <f t="shared" ref="AN9" si="20">AB9+AC9</f>
        <v>-7.4536385985891603E-4</v>
      </c>
      <c r="AO9">
        <f t="shared" ref="AO9" si="21">AD9+AE9</f>
        <v>2.4292730292927184E-3</v>
      </c>
      <c r="AP9">
        <f t="shared" ref="AP9" si="22">AF9+AG9</f>
        <v>1.5127820585899258E-2</v>
      </c>
      <c r="AQ9">
        <f t="shared" ref="AQ9" si="23">AH9+AI9</f>
        <v>3.1001005031657432E-2</v>
      </c>
    </row>
    <row r="10" spans="1:43" x14ac:dyDescent="0.3">
      <c r="A10">
        <v>5</v>
      </c>
      <c r="B10">
        <v>0.4</v>
      </c>
      <c r="C10">
        <v>2E-3</v>
      </c>
      <c r="D10">
        <f t="shared" si="0"/>
        <v>0.998</v>
      </c>
      <c r="E10">
        <f t="shared" si="1"/>
        <v>2.2360679774997898</v>
      </c>
      <c r="F10">
        <f t="shared" si="2"/>
        <v>4</v>
      </c>
      <c r="G10">
        <f t="shared" si="3"/>
        <v>2.6615348500015168</v>
      </c>
      <c r="H10">
        <f t="shared" si="4"/>
        <v>2.2615348500015169</v>
      </c>
      <c r="I10" s="2">
        <f>_xlfn.T.DIST.RT(E10*H10,F10)</f>
        <v>3.5979655714344664E-3</v>
      </c>
      <c r="J10">
        <f>1-I10</f>
        <v>0.99640203442856556</v>
      </c>
      <c r="L10">
        <f>I10/C10</f>
        <v>1.7989827857172331</v>
      </c>
      <c r="M10">
        <f t="shared" si="5"/>
        <v>0.25502700764583802</v>
      </c>
      <c r="O10">
        <f>J10/D10</f>
        <v>0.99839883209275104</v>
      </c>
      <c r="P10">
        <f t="shared" si="6"/>
        <v>-6.9593569046760015E-4</v>
      </c>
      <c r="R10" s="4">
        <f>_xlfn.T.DIST.RT(E10*(G10-0.2),F10)</f>
        <v>2.6568061553184788E-3</v>
      </c>
      <c r="S10">
        <f>R10*M10</f>
        <v>6.7755732368591527E-4</v>
      </c>
      <c r="T10">
        <f>(1-R10)*P10</f>
        <v>-6.9408672424146E-4</v>
      </c>
      <c r="U10" s="2">
        <f>_xlfn.T.DIST.RT(E10*(G10-0.4),F10)</f>
        <v>3.5979655714344664E-3</v>
      </c>
      <c r="V10">
        <f>U10*M10</f>
        <v>9.1757839329567961E-4</v>
      </c>
      <c r="W10">
        <f>(1-U10)*P10</f>
        <v>-6.934317378133653E-4</v>
      </c>
      <c r="X10" s="2">
        <f>_xlfn.T.DIST.RT(E10*(G10-0.8),F10)</f>
        <v>7.0581825811474484E-3</v>
      </c>
      <c r="Y10">
        <f>X10*M10</f>
        <v>1.8000271830880112E-3</v>
      </c>
      <c r="Z10">
        <f>(1-X10)*P10</f>
        <v>-6.9102364929954298E-4</v>
      </c>
      <c r="AB10">
        <f>C10*M10</f>
        <v>5.1005401529167604E-4</v>
      </c>
      <c r="AC10">
        <f>D10*P10</f>
        <v>-6.9454381908666497E-4</v>
      </c>
      <c r="AD10">
        <f>(C10+0.01)*M10</f>
        <v>3.0603240917500565E-3</v>
      </c>
      <c r="AE10">
        <f>(D10-0.01)*P10</f>
        <v>-6.8758446218198895E-4</v>
      </c>
      <c r="AF10">
        <f>(C10+0.05)*M10</f>
        <v>1.3261404397583578E-2</v>
      </c>
      <c r="AG10">
        <f>(D10-0.05)*P10</f>
        <v>-6.5974703456328488E-4</v>
      </c>
      <c r="AH10">
        <f>(C10+0.1)*M10</f>
        <v>2.6012754779875479E-2</v>
      </c>
      <c r="AI10">
        <f>(D10-0.1)*P10</f>
        <v>-6.24950250039905E-4</v>
      </c>
      <c r="AK10">
        <f>S10+T10</f>
        <v>-1.6529400555544724E-5</v>
      </c>
      <c r="AL10">
        <f>V10+W10</f>
        <v>2.2414665548231431E-4</v>
      </c>
      <c r="AM10">
        <f t="shared" si="7"/>
        <v>1.1090035337884682E-3</v>
      </c>
      <c r="AN10">
        <f t="shared" si="8"/>
        <v>-1.8448980379498893E-4</v>
      </c>
      <c r="AO10">
        <f t="shared" si="9"/>
        <v>2.3727396295680674E-3</v>
      </c>
      <c r="AP10">
        <f t="shared" si="10"/>
        <v>1.2601657363020293E-2</v>
      </c>
      <c r="AQ10">
        <f t="shared" si="11"/>
        <v>2.5387804529835575E-2</v>
      </c>
    </row>
    <row r="11" spans="1:43" x14ac:dyDescent="0.3">
      <c r="A11">
        <v>5</v>
      </c>
      <c r="B11">
        <v>0.4</v>
      </c>
      <c r="C11">
        <v>1E-3</v>
      </c>
      <c r="D11">
        <f t="shared" si="0"/>
        <v>0.999</v>
      </c>
      <c r="E11">
        <f t="shared" si="1"/>
        <v>2.2360679774997898</v>
      </c>
      <c r="F11">
        <f t="shared" si="2"/>
        <v>4</v>
      </c>
      <c r="G11">
        <f t="shared" si="3"/>
        <v>3.2079446116852157</v>
      </c>
      <c r="H11">
        <f t="shared" si="4"/>
        <v>2.8079446116852158</v>
      </c>
      <c r="I11" s="2">
        <f>_xlfn.T.DIST.RT(E11*H11,F11)</f>
        <v>1.6426121130239644E-3</v>
      </c>
      <c r="J11">
        <f>1-I11</f>
        <v>0.99835738788697603</v>
      </c>
      <c r="L11">
        <f>I11/C11</f>
        <v>1.6426121130239644</v>
      </c>
      <c r="M11">
        <f t="shared" si="5"/>
        <v>0.21553502109696329</v>
      </c>
      <c r="O11">
        <f>J11/D11</f>
        <v>0.99935674463160762</v>
      </c>
      <c r="P11">
        <f t="shared" si="6"/>
        <v>-2.7945214613307636E-4</v>
      </c>
      <c r="R11" s="4">
        <f>_xlfn.T.DIST.RT(E11*(G11-0.2),F11)</f>
        <v>1.2725233521668497E-3</v>
      </c>
      <c r="S11">
        <f>R11*M11</f>
        <v>2.7427334755566042E-4</v>
      </c>
      <c r="T11">
        <f>(1-R11)*P11</f>
        <v>-2.7909653675130887E-4</v>
      </c>
      <c r="U11" s="2">
        <f>_xlfn.T.DIST.RT(E11*(G11-0.4),F11)</f>
        <v>1.6426121130239644E-3</v>
      </c>
      <c r="V11">
        <f>U11*M11</f>
        <v>3.5404043643474763E-4</v>
      </c>
      <c r="W11">
        <f>(1-U11)*P11</f>
        <v>-2.7899311465282765E-4</v>
      </c>
      <c r="X11" s="2">
        <f>_xlfn.T.DIST.RT(E11*(G11-0.8),F11)</f>
        <v>2.875994977112481E-3</v>
      </c>
      <c r="Y11">
        <f>X11*M11</f>
        <v>6.198776380666991E-4</v>
      </c>
      <c r="Z11">
        <f>(1-X11)*P11</f>
        <v>-2.7864844316445434E-4</v>
      </c>
      <c r="AB11">
        <f>C11*M11</f>
        <v>2.155350210969633E-4</v>
      </c>
      <c r="AC11">
        <f>D11*P11</f>
        <v>-2.7917269398694327E-4</v>
      </c>
      <c r="AD11">
        <f>(C11+0.01)*M11</f>
        <v>2.3708852320665961E-3</v>
      </c>
      <c r="AE11">
        <f>(D11-0.01)*P11</f>
        <v>-2.7637817252561253E-4</v>
      </c>
      <c r="AF11">
        <f>(C11+0.05)*M11</f>
        <v>1.0992286075945129E-2</v>
      </c>
      <c r="AG11">
        <f>(D11-0.05)*P11</f>
        <v>-2.6520008668028946E-4</v>
      </c>
      <c r="AH11">
        <f>(C11+0.1)*M11</f>
        <v>2.1769037130793294E-2</v>
      </c>
      <c r="AI11">
        <f>(D11-0.1)*P11</f>
        <v>-2.5122747937363565E-4</v>
      </c>
      <c r="AK11">
        <f>S11+T11</f>
        <v>-4.8231891956484509E-6</v>
      </c>
      <c r="AL11">
        <f>V11+W11</f>
        <v>7.5047321781919973E-5</v>
      </c>
      <c r="AM11">
        <f t="shared" si="7"/>
        <v>3.4122919490224476E-4</v>
      </c>
      <c r="AN11">
        <f t="shared" si="8"/>
        <v>-6.363767288997997E-5</v>
      </c>
      <c r="AO11">
        <f t="shared" si="9"/>
        <v>2.0945070595409835E-3</v>
      </c>
      <c r="AP11">
        <f t="shared" si="10"/>
        <v>1.0727085989264839E-2</v>
      </c>
      <c r="AQ11">
        <f t="shared" si="11"/>
        <v>2.151780965141966E-2</v>
      </c>
    </row>
    <row r="12" spans="1:43" x14ac:dyDescent="0.3">
      <c r="A12">
        <v>5</v>
      </c>
      <c r="B12">
        <v>0.4</v>
      </c>
      <c r="C12">
        <v>1E-4</v>
      </c>
      <c r="D12">
        <f t="shared" si="0"/>
        <v>0.99990000000000001</v>
      </c>
      <c r="E12">
        <f t="shared" si="1"/>
        <v>2.2360679774997898</v>
      </c>
      <c r="F12">
        <f t="shared" si="2"/>
        <v>4</v>
      </c>
      <c r="G12">
        <f t="shared" si="3"/>
        <v>5.8288351928682287</v>
      </c>
      <c r="H12">
        <f t="shared" si="4"/>
        <v>5.4288351928682284</v>
      </c>
      <c r="I12" s="2">
        <f>_xlfn.T.DIST.RT(E12*H12,F12)</f>
        <v>1.3211681813024798E-4</v>
      </c>
      <c r="J12">
        <f>1-I12</f>
        <v>0.9998678831818697</v>
      </c>
      <c r="L12">
        <f>I12/C12</f>
        <v>1.3211681813024796</v>
      </c>
      <c r="M12">
        <f t="shared" si="5"/>
        <v>0.12095810570121428</v>
      </c>
      <c r="O12">
        <f>J12/D12</f>
        <v>0.99996787996986669</v>
      </c>
      <c r="P12">
        <f t="shared" si="6"/>
        <v>-1.3949775880272477E-5</v>
      </c>
      <c r="R12" s="4">
        <f>_xlfn.T.DIST.RT(E12*(G12-0.2),F12)</f>
        <v>1.1466963869199729E-4</v>
      </c>
      <c r="S12">
        <f>R12*M12</f>
        <v>1.3870222277626658E-5</v>
      </c>
      <c r="T12">
        <f>(1-R12)*P12</f>
        <v>-1.3948176264512451E-5</v>
      </c>
      <c r="U12" s="2">
        <f>_xlfn.T.DIST.RT(E12*(G12-0.4),F12)</f>
        <v>1.3211681813024798E-4</v>
      </c>
      <c r="V12">
        <f>U12*M12</f>
        <v>1.5980600052306637E-5</v>
      </c>
      <c r="W12">
        <f>(1-U12)*P12</f>
        <v>-1.3947932880269544E-5</v>
      </c>
      <c r="X12" s="2">
        <f>_xlfn.T.DIST.RT(E12*(G12-0.8),F12)</f>
        <v>1.7813702209586003E-4</v>
      </c>
      <c r="Y12">
        <f>X12*M12</f>
        <v>2.154711674797058E-5</v>
      </c>
      <c r="Z12">
        <f>(1-X12)*P12</f>
        <v>-1.3947290908738259E-5</v>
      </c>
      <c r="AB12">
        <f>C12*M12</f>
        <v>1.2095810570121428E-5</v>
      </c>
      <c r="AC12">
        <f>D12*P12</f>
        <v>-1.3948380902684449E-5</v>
      </c>
      <c r="AD12">
        <f>(C12+0.01)*M12</f>
        <v>1.2216768675822642E-3</v>
      </c>
      <c r="AE12">
        <f>(D12-0.01)*P12</f>
        <v>-1.3808883143881725E-5</v>
      </c>
      <c r="AF12">
        <f>(C12+0.05)*M12</f>
        <v>6.0600010956308363E-3</v>
      </c>
      <c r="AG12">
        <f>(D12-0.05)*P12</f>
        <v>-1.3250892108670826E-5</v>
      </c>
      <c r="AH12">
        <f>(C12+0.1)*M12</f>
        <v>1.2107906380691549E-2</v>
      </c>
      <c r="AI12">
        <f>(D12-0.1)*P12</f>
        <v>-1.2553403314657203E-5</v>
      </c>
      <c r="AK12">
        <f>S12+T12</f>
        <v>-7.7953986885792844E-8</v>
      </c>
      <c r="AL12">
        <f>V12+W12</f>
        <v>2.0326671720370924E-6</v>
      </c>
      <c r="AM12">
        <f t="shared" si="7"/>
        <v>7.5998258392323207E-6</v>
      </c>
      <c r="AN12">
        <f t="shared" si="8"/>
        <v>-1.8525703325630205E-6</v>
      </c>
      <c r="AO12">
        <f t="shared" si="9"/>
        <v>1.2078679844383824E-3</v>
      </c>
      <c r="AP12">
        <f t="shared" si="10"/>
        <v>6.0467502035221653E-3</v>
      </c>
      <c r="AQ12">
        <f t="shared" si="11"/>
        <v>1.2095352977376891E-2</v>
      </c>
    </row>
    <row r="13" spans="1:43" x14ac:dyDescent="0.3">
      <c r="A13">
        <v>5</v>
      </c>
      <c r="B13">
        <v>0.4</v>
      </c>
      <c r="C13">
        <v>1.0000000000000001E-5</v>
      </c>
      <c r="D13">
        <f t="shared" si="0"/>
        <v>0.99999000000000005</v>
      </c>
      <c r="E13">
        <f t="shared" si="1"/>
        <v>2.2360679774997898</v>
      </c>
      <c r="F13">
        <f t="shared" si="2"/>
        <v>4</v>
      </c>
      <c r="G13">
        <f t="shared" si="3"/>
        <v>10.434469316499781</v>
      </c>
      <c r="H13">
        <f t="shared" si="4"/>
        <v>10.034469316499781</v>
      </c>
      <c r="I13" s="2">
        <f>_xlfn.T.DIST.RT(E13*H13,F13)</f>
        <v>1.1680851710298526E-5</v>
      </c>
      <c r="J13">
        <f>1-I13</f>
        <v>0.99998831914828967</v>
      </c>
      <c r="L13">
        <f>I13/C13</f>
        <v>1.1680851710298525</v>
      </c>
      <c r="M13">
        <f t="shared" si="5"/>
        <v>6.7474510550105782E-2</v>
      </c>
      <c r="O13">
        <f>J13/D13</f>
        <v>0.99999831913148096</v>
      </c>
      <c r="P13">
        <f t="shared" si="6"/>
        <v>-7.2999253613416348E-7</v>
      </c>
      <c r="R13" s="4">
        <f>_xlfn.T.DIST.RT(E13*(G13-0.2),F13)</f>
        <v>1.0799701559135624E-5</v>
      </c>
      <c r="S13">
        <f>R13*M13</f>
        <v>7.287045767898905E-7</v>
      </c>
      <c r="T13">
        <f>(1-R13)*P13</f>
        <v>-7.2998465243263279E-7</v>
      </c>
      <c r="U13" s="2">
        <f>_xlfn.T.DIST.RT(E13*(G13-0.4),F13)</f>
        <v>1.1680851710298526E-5</v>
      </c>
      <c r="V13">
        <f>U13*M13</f>
        <v>7.8815975196075901E-7</v>
      </c>
      <c r="W13">
        <f>(1-U13)*P13</f>
        <v>-7.299840091995993E-7</v>
      </c>
      <c r="X13" s="2">
        <f>_xlfn.T.DIST.RT(E13*(G13-0.8),F13)</f>
        <v>1.3729583265924345E-5</v>
      </c>
      <c r="Y13">
        <f>X13*M13</f>
        <v>9.2639691092516808E-7</v>
      </c>
      <c r="Z13">
        <f>(1-X13)*P13</f>
        <v>-7.2998251364085506E-7</v>
      </c>
      <c r="AB13">
        <f>C13*M13</f>
        <v>6.747451055010579E-7</v>
      </c>
      <c r="AC13">
        <f>D13*P13</f>
        <v>-7.2998523620880221E-7</v>
      </c>
      <c r="AD13">
        <f>(C13+0.01)*M13</f>
        <v>6.7541985060655884E-4</v>
      </c>
      <c r="AE13">
        <f>(D13-0.01)*P13</f>
        <v>-7.2268531084746054E-7</v>
      </c>
      <c r="AF13">
        <f>(C13+0.05)*M13</f>
        <v>3.3744002726107903E-3</v>
      </c>
      <c r="AG13">
        <f>(D13-0.05)*P13</f>
        <v>-6.9348560940209396E-7</v>
      </c>
      <c r="AH13">
        <f>(C13+0.1)*M13</f>
        <v>6.7481258001160791E-3</v>
      </c>
      <c r="AI13">
        <f>(D13-0.1)*P13</f>
        <v>-6.569859825953858E-7</v>
      </c>
      <c r="AK13">
        <f>S13+T13</f>
        <v>-1.2800756427422882E-9</v>
      </c>
      <c r="AL13">
        <f>V13+W13</f>
        <v>5.817574276115971E-8</v>
      </c>
      <c r="AM13">
        <f t="shared" si="7"/>
        <v>1.9641439728431303E-7</v>
      </c>
      <c r="AN13">
        <f t="shared" si="8"/>
        <v>-5.5240130707744314E-8</v>
      </c>
      <c r="AO13">
        <f t="shared" si="9"/>
        <v>6.746971652957114E-4</v>
      </c>
      <c r="AP13">
        <f t="shared" si="10"/>
        <v>3.3737067870013883E-3</v>
      </c>
      <c r="AQ13">
        <f t="shared" si="11"/>
        <v>6.7474688141334841E-3</v>
      </c>
    </row>
    <row r="14" spans="1:43" x14ac:dyDescent="0.3">
      <c r="A14">
        <v>5</v>
      </c>
      <c r="B14">
        <v>0.4</v>
      </c>
      <c r="C14">
        <v>9.9999999999999995E-7</v>
      </c>
      <c r="D14">
        <f t="shared" si="0"/>
        <v>0.99999899999999997</v>
      </c>
      <c r="E14">
        <f t="shared" si="1"/>
        <v>2.2360679774997898</v>
      </c>
      <c r="F14">
        <f t="shared" si="2"/>
        <v>4</v>
      </c>
      <c r="G14">
        <f t="shared" si="3"/>
        <v>18.594181647796031</v>
      </c>
      <c r="H14">
        <f t="shared" si="4"/>
        <v>18.194181647796032</v>
      </c>
      <c r="I14" s="2">
        <f>_xlfn.T.DIST.RT(E14*H14,F14)</f>
        <v>1.0906964224164526E-6</v>
      </c>
      <c r="J14">
        <f>1-I14</f>
        <v>0.9999989093035776</v>
      </c>
      <c r="L14">
        <f>I14/C14</f>
        <v>1.0906964224164526</v>
      </c>
      <c r="M14">
        <f t="shared" si="5"/>
        <v>3.7703888612440534E-2</v>
      </c>
      <c r="O14">
        <f>J14/D14</f>
        <v>0.99999990930348692</v>
      </c>
      <c r="P14">
        <f t="shared" si="6"/>
        <v>-3.9388996943682187E-8</v>
      </c>
      <c r="R14" s="4">
        <f>_xlfn.T.DIST.RT(E14*(G14-0.2),F14)</f>
        <v>1.044118658125251E-6</v>
      </c>
      <c r="S14">
        <f>R14*M14</f>
        <v>3.9367333584125343E-8</v>
      </c>
      <c r="T14">
        <f>(1-R14)*P14</f>
        <v>-3.9388955816895553E-8</v>
      </c>
      <c r="U14" s="2">
        <f>_xlfn.T.DIST.RT(E14*(G14-0.4),F14)</f>
        <v>1.0906964224164526E-6</v>
      </c>
      <c r="V14">
        <f>U14*M14</f>
        <v>4.1123496420777318E-8</v>
      </c>
      <c r="W14">
        <f>(1-U14)*P14</f>
        <v>-3.9388953982244139E-8</v>
      </c>
      <c r="X14" s="2">
        <f>_xlfn.T.DIST.RT(E14*(G14-0.8),F14)</f>
        <v>1.1919075602228616E-6</v>
      </c>
      <c r="Y14">
        <f>X14*M14</f>
        <v>4.4939549886968535E-8</v>
      </c>
      <c r="Z14">
        <f>(1-X14)*P14</f>
        <v>-3.9388949995638939E-8</v>
      </c>
      <c r="AB14">
        <f>C14*M14</f>
        <v>3.7703888612440531E-8</v>
      </c>
      <c r="AC14">
        <f>D14*P14</f>
        <v>-3.9388957554685242E-8</v>
      </c>
      <c r="AD14">
        <f>(C14+0.01)*M14</f>
        <v>3.7707659001301778E-4</v>
      </c>
      <c r="AE14">
        <f>(D14-0.01)*P14</f>
        <v>-3.8995067585248419E-8</v>
      </c>
      <c r="AF14">
        <f>(C14+0.05)*M14</f>
        <v>1.8852321345106393E-3</v>
      </c>
      <c r="AG14">
        <f>(D14-0.05)*P14</f>
        <v>-3.7419507707501129E-8</v>
      </c>
      <c r="AH14">
        <f>(C14+0.1)*M14</f>
        <v>3.7704265651326663E-3</v>
      </c>
      <c r="AI14">
        <f>(D14-0.1)*P14</f>
        <v>-3.5450057860317023E-8</v>
      </c>
      <c r="AK14">
        <f>S14+T14</f>
        <v>-2.1622232770209654E-11</v>
      </c>
      <c r="AL14">
        <f>V14+W14</f>
        <v>1.7345424385331782E-9</v>
      </c>
      <c r="AM14">
        <f t="shared" si="7"/>
        <v>5.5505998913295964E-9</v>
      </c>
      <c r="AN14">
        <f t="shared" si="8"/>
        <v>-1.6850689422447114E-9</v>
      </c>
      <c r="AO14">
        <f t="shared" si="9"/>
        <v>3.7703759494543253E-4</v>
      </c>
      <c r="AP14">
        <f t="shared" si="10"/>
        <v>1.8851947150029318E-3</v>
      </c>
      <c r="AQ14">
        <f t="shared" si="11"/>
        <v>3.7703911150748061E-3</v>
      </c>
    </row>
    <row r="15" spans="1:43" x14ac:dyDescent="0.3">
      <c r="A15">
        <v>5</v>
      </c>
      <c r="B15">
        <v>0.4</v>
      </c>
      <c r="C15">
        <v>9.9999999999999995E-8</v>
      </c>
      <c r="D15">
        <f t="shared" si="0"/>
        <v>0.99999990000000005</v>
      </c>
      <c r="E15">
        <f t="shared" si="1"/>
        <v>2.2360679774997898</v>
      </c>
      <c r="F15">
        <f t="shared" si="2"/>
        <v>4</v>
      </c>
      <c r="G15">
        <f t="shared" si="3"/>
        <v>33.087436872332674</v>
      </c>
      <c r="H15">
        <f t="shared" si="4"/>
        <v>32.687436872332675</v>
      </c>
      <c r="I15" s="2">
        <f>_xlfn.T.DIST.RT(E15*H15,F15)</f>
        <v>1.0498228419054925E-7</v>
      </c>
      <c r="J15">
        <f>1-I15</f>
        <v>0.9999998950177158</v>
      </c>
      <c r="L15">
        <f>I15/C15</f>
        <v>1.0498228419054925</v>
      </c>
      <c r="M15">
        <f t="shared" si="5"/>
        <v>2.111601785638403E-2</v>
      </c>
      <c r="O15">
        <f>J15/D15</f>
        <v>0.9999999950177153</v>
      </c>
      <c r="P15">
        <f t="shared" si="6"/>
        <v>-2.1637787560994509E-9</v>
      </c>
      <c r="R15" s="4">
        <f>_xlfn.T.DIST.RT(E15*(G15-0.2),F15)</f>
        <v>1.0245329842058896E-7</v>
      </c>
      <c r="S15">
        <f>R15*M15</f>
        <v>2.1634056788945983E-9</v>
      </c>
      <c r="T15">
        <f>(1-R15)*P15</f>
        <v>-2.1637785344131802E-9</v>
      </c>
      <c r="U15" s="2">
        <f>_xlfn.T.DIST.RT(E15*(G15-0.4),F15)</f>
        <v>1.0498228419054925E-7</v>
      </c>
      <c r="V15">
        <f>U15*M15</f>
        <v>2.2168077875716209E-9</v>
      </c>
      <c r="W15">
        <f>(1-U15)*P15</f>
        <v>-2.1637785289410144E-9</v>
      </c>
      <c r="X15" s="2">
        <f>_xlfn.T.DIST.RT(E15*(G15-0.8),F15)</f>
        <v>1.1027871729416898E-7</v>
      </c>
      <c r="Y15">
        <f>X15*M15</f>
        <v>2.3286473635627985E-9</v>
      </c>
      <c r="Z15">
        <f>(1-X15)*P15</f>
        <v>-2.1637785174807054E-9</v>
      </c>
      <c r="AB15">
        <f>C15*M15</f>
        <v>2.1116017856384031E-9</v>
      </c>
      <c r="AC15">
        <f>D15*P15</f>
        <v>-2.1637785397215754E-9</v>
      </c>
      <c r="AD15">
        <f>(C15+0.01)*M15</f>
        <v>2.1116229016562594E-4</v>
      </c>
      <c r="AE15">
        <f>(D15-0.01)*P15</f>
        <v>-2.1421407521605809E-9</v>
      </c>
      <c r="AF15">
        <f>(C15+0.05)*M15</f>
        <v>1.0558030044209874E-3</v>
      </c>
      <c r="AG15">
        <f>(D15-0.05)*P15</f>
        <v>-2.0555896019166029E-9</v>
      </c>
      <c r="AH15">
        <f>(C15+0.1)*M15</f>
        <v>2.1116038972401889E-3</v>
      </c>
      <c r="AI15">
        <f>(D15-0.1)*P15</f>
        <v>-1.9474006641116304E-9</v>
      </c>
      <c r="AK15">
        <f>S15+T15</f>
        <v>-3.7285551858193221E-13</v>
      </c>
      <c r="AL15">
        <f>V15+W15</f>
        <v>5.3029258630606408E-11</v>
      </c>
      <c r="AM15">
        <f t="shared" si="7"/>
        <v>1.6486884608209306E-10</v>
      </c>
      <c r="AN15">
        <f t="shared" si="8"/>
        <v>-5.2176754083172282E-11</v>
      </c>
      <c r="AO15">
        <f t="shared" si="9"/>
        <v>2.1116014802487378E-4</v>
      </c>
      <c r="AP15">
        <f t="shared" si="10"/>
        <v>1.0558009488313854E-3</v>
      </c>
      <c r="AQ15">
        <f t="shared" si="11"/>
        <v>2.111601949839525E-3</v>
      </c>
    </row>
    <row r="16" spans="1:43" x14ac:dyDescent="0.3">
      <c r="A16">
        <v>10</v>
      </c>
      <c r="B16">
        <v>0.4</v>
      </c>
      <c r="C16">
        <v>0.5</v>
      </c>
      <c r="D16">
        <f t="shared" si="0"/>
        <v>0.5</v>
      </c>
      <c r="E16">
        <f t="shared" si="1"/>
        <v>3.1622776601683795</v>
      </c>
      <c r="F16">
        <f t="shared" si="2"/>
        <v>9</v>
      </c>
      <c r="G16">
        <f t="shared" si="3"/>
        <v>0</v>
      </c>
      <c r="H16">
        <f t="shared" si="4"/>
        <v>-0.4</v>
      </c>
      <c r="I16" s="2">
        <f>_xlfn.T.DIST.RT(E16*H16,F16)</f>
        <v>0.88116371841050722</v>
      </c>
      <c r="J16">
        <f>1-I16</f>
        <v>0.11883628158949278</v>
      </c>
      <c r="L16">
        <f>I16/C16</f>
        <v>1.7623274368210144</v>
      </c>
      <c r="M16">
        <f t="shared" si="5"/>
        <v>0.24608660259652523</v>
      </c>
      <c r="O16">
        <f>J16/D16</f>
        <v>0.23767256317898555</v>
      </c>
      <c r="P16">
        <f t="shared" si="6"/>
        <v>-0.62402095015112335</v>
      </c>
      <c r="R16" s="4">
        <f>_xlfn.T.DIST.RT(E16*(G16-0.2),F16)</f>
        <v>0.72858952131991961</v>
      </c>
      <c r="S16">
        <f>R16*M16</f>
        <v>0.1792961199890476</v>
      </c>
      <c r="T16">
        <f>(1-R16)*P16</f>
        <v>-0.16936582478691498</v>
      </c>
      <c r="U16" s="2">
        <f>_xlfn.T.DIST.RT(E16*(G16-0.4),F16)</f>
        <v>0.88116371841050722</v>
      </c>
      <c r="V16">
        <f>U16*M16</f>
        <v>0.21684258579496296</v>
      </c>
      <c r="W16">
        <f>(1-U16)*P16</f>
        <v>-7.4156329349901726E-2</v>
      </c>
      <c r="X16" s="2">
        <f>_xlfn.T.DIST.RT(E16*(G16-0.8),F16)</f>
        <v>0.98387760951977166</v>
      </c>
      <c r="Y16">
        <f>X16*M16</f>
        <v>0.24211909829751127</v>
      </c>
      <c r="Z16">
        <f>(1-X16)*P16</f>
        <v>-1.0060709426179516E-2</v>
      </c>
      <c r="AB16">
        <f>C16*M16</f>
        <v>0.12304330129826262</v>
      </c>
      <c r="AC16">
        <f>D16*P16</f>
        <v>-0.31201047507556168</v>
      </c>
      <c r="AD16">
        <f>(C16+0.01)*M16</f>
        <v>0.12550416732422787</v>
      </c>
      <c r="AE16">
        <f>(D16-0.01)*P16</f>
        <v>-0.30577026557405046</v>
      </c>
      <c r="AF16">
        <f>(C16+0.05)*M16</f>
        <v>0.13534763142808889</v>
      </c>
      <c r="AG16">
        <f>(D16-0.05)*P16</f>
        <v>-0.28080942756800553</v>
      </c>
      <c r="AH16">
        <f>(C16+0.1)*M16</f>
        <v>0.14765196155791513</v>
      </c>
      <c r="AI16">
        <f>(D16-0.1)*P16</f>
        <v>-0.24960838006044936</v>
      </c>
      <c r="AK16">
        <f>S16+T16</f>
        <v>9.9302952021326218E-3</v>
      </c>
      <c r="AL16">
        <f>V16+W16</f>
        <v>0.14268625644506122</v>
      </c>
      <c r="AM16">
        <f t="shared" si="7"/>
        <v>0.23205838887133176</v>
      </c>
      <c r="AN16">
        <f t="shared" si="8"/>
        <v>-0.18896717377729905</v>
      </c>
      <c r="AO16">
        <f t="shared" si="9"/>
        <v>-0.18026609824982259</v>
      </c>
      <c r="AP16">
        <f t="shared" si="10"/>
        <v>-0.14546179613991664</v>
      </c>
      <c r="AQ16">
        <f t="shared" si="11"/>
        <v>-0.10195641850253423</v>
      </c>
    </row>
    <row r="17" spans="1:43" x14ac:dyDescent="0.3">
      <c r="A17">
        <v>10</v>
      </c>
      <c r="B17">
        <v>0.4</v>
      </c>
      <c r="C17">
        <v>0.2</v>
      </c>
      <c r="D17">
        <f t="shared" si="0"/>
        <v>0.8</v>
      </c>
      <c r="E17">
        <f t="shared" si="1"/>
        <v>3.1622776601683795</v>
      </c>
      <c r="F17">
        <f t="shared" si="2"/>
        <v>9</v>
      </c>
      <c r="G17">
        <f t="shared" si="3"/>
        <v>0.27935682903900877</v>
      </c>
      <c r="H17">
        <f t="shared" si="4"/>
        <v>-0.12064317096099125</v>
      </c>
      <c r="I17" s="2">
        <f>_xlfn.T.DIST.RT(E17*H17,F17)</f>
        <v>0.64416109630628737</v>
      </c>
      <c r="J17">
        <f>1-I17</f>
        <v>0.35583890369371263</v>
      </c>
      <c r="L17">
        <f>I17/C17</f>
        <v>3.2208054815314369</v>
      </c>
      <c r="M17">
        <f t="shared" si="5"/>
        <v>0.5079644966767296</v>
      </c>
      <c r="O17">
        <f>J17/D17</f>
        <v>0.44479862961714078</v>
      </c>
      <c r="P17">
        <f t="shared" si="6"/>
        <v>-0.35183655944450309</v>
      </c>
      <c r="R17" s="4">
        <f>_xlfn.T.DIST.RT(E17*(G17-0.2),F17)</f>
        <v>0.40374476246127033</v>
      </c>
      <c r="S17">
        <f>R17*M17</f>
        <v>0.20508800504950495</v>
      </c>
      <c r="T17">
        <f>(1-R17)*P17</f>
        <v>-0.20978439132639157</v>
      </c>
      <c r="U17" s="2">
        <f>_xlfn.T.DIST.RT(E17*(G17-0.4),F17)</f>
        <v>0.64416109630628737</v>
      </c>
      <c r="V17">
        <f>U17*M17</f>
        <v>0.32721096706395358</v>
      </c>
      <c r="W17">
        <f>(1-U17)*P17</f>
        <v>-0.12519713559209975</v>
      </c>
      <c r="X17" s="2">
        <f>_xlfn.T.DIST.RT(E17*(G17-0.8),F17)</f>
        <v>0.93295783309967206</v>
      </c>
      <c r="Y17">
        <f>X17*M17</f>
        <v>0.4739094561110872</v>
      </c>
      <c r="Z17">
        <f>(1-X17)*P17</f>
        <v>-2.3587885339915529E-2</v>
      </c>
      <c r="AB17">
        <f>C17*M17</f>
        <v>0.10159289933534593</v>
      </c>
      <c r="AC17">
        <f>D17*P17</f>
        <v>-0.28146924755560249</v>
      </c>
      <c r="AD17">
        <f>(C17+0.01)*M17</f>
        <v>0.10667254430211323</v>
      </c>
      <c r="AE17">
        <f>(D17-0.01)*P17</f>
        <v>-0.27795088196115747</v>
      </c>
      <c r="AF17">
        <f>(C17+0.05)*M17</f>
        <v>0.1269911241691824</v>
      </c>
      <c r="AG17">
        <f>(D17-0.05)*P17</f>
        <v>-0.26387741958337729</v>
      </c>
      <c r="AH17">
        <f>(C17+0.1)*M17</f>
        <v>0.1523893490030189</v>
      </c>
      <c r="AI17">
        <f>(D17-0.1)*P17</f>
        <v>-0.24628559161115218</v>
      </c>
      <c r="AK17">
        <f>S17+T17</f>
        <v>-4.6963862768866216E-3</v>
      </c>
      <c r="AL17">
        <f>V17+W17</f>
        <v>0.20201383147185384</v>
      </c>
      <c r="AM17">
        <f t="shared" si="7"/>
        <v>0.45032157077117169</v>
      </c>
      <c r="AN17">
        <f t="shared" si="8"/>
        <v>-0.17987634822025655</v>
      </c>
      <c r="AO17">
        <f t="shared" si="9"/>
        <v>-0.17127833765904424</v>
      </c>
      <c r="AP17">
        <f t="shared" si="10"/>
        <v>-0.13688629541419489</v>
      </c>
      <c r="AQ17">
        <f t="shared" si="11"/>
        <v>-9.3896242608133285E-2</v>
      </c>
    </row>
    <row r="18" spans="1:43" x14ac:dyDescent="0.3">
      <c r="A18">
        <v>10</v>
      </c>
      <c r="B18">
        <v>0.4</v>
      </c>
      <c r="C18">
        <v>0.19896430000000001</v>
      </c>
      <c r="D18">
        <f t="shared" si="0"/>
        <v>0.80103570000000002</v>
      </c>
      <c r="E18">
        <v>3.16227766</v>
      </c>
      <c r="F18">
        <v>9</v>
      </c>
      <c r="G18">
        <v>0.280638312</v>
      </c>
      <c r="H18">
        <v>-0.11936168799999999</v>
      </c>
      <c r="I18" s="2">
        <v>0.64270860600000002</v>
      </c>
      <c r="J18">
        <f>1-I18</f>
        <v>0.35729139399999998</v>
      </c>
      <c r="L18">
        <f>I18/C18</f>
        <v>3.2302709883129785</v>
      </c>
      <c r="M18">
        <f t="shared" si="5"/>
        <v>0.50923895694174659</v>
      </c>
      <c r="O18">
        <f>J18/D18</f>
        <v>0.44603679211800418</v>
      </c>
      <c r="P18">
        <f t="shared" si="6"/>
        <v>-0.35062931627710298</v>
      </c>
      <c r="R18" s="4">
        <f>_xlfn.T.DIST.RT(E18*(G18-0.2),F18)</f>
        <v>0.40222702264839882</v>
      </c>
      <c r="S18">
        <f>R18*M18</f>
        <v>0.20482966946725489</v>
      </c>
      <c r="T18">
        <f>(1-R18)*P18</f>
        <v>-0.20959673033772008</v>
      </c>
      <c r="U18" s="2">
        <f>_xlfn.T.DIST.RT(E18*(G18-0.4),F18)</f>
        <v>0.64270860531288454</v>
      </c>
      <c r="V18">
        <f>U18*M18</f>
        <v>0.32729225978701804</v>
      </c>
      <c r="W18">
        <f>(1-U18)*P18</f>
        <v>-0.12527683743083584</v>
      </c>
      <c r="X18" s="2">
        <f>_xlfn.T.DIST.RT(E18*(G18-0.8),F18)</f>
        <v>0.93253504730471026</v>
      </c>
      <c r="Y18">
        <f>X18*M18</f>
        <v>0.47488317480107295</v>
      </c>
      <c r="Z18">
        <f>(1-X18)*P18</f>
        <v>-2.3655190236216535E-2</v>
      </c>
      <c r="AB18">
        <f>C18*M18</f>
        <v>0.10132037260064476</v>
      </c>
      <c r="AC18">
        <f>D18*P18</f>
        <v>-0.28086659980455059</v>
      </c>
      <c r="AD18">
        <f>(C18+0.01)*M18</f>
        <v>0.10641276217006222</v>
      </c>
      <c r="AE18">
        <f>(D18-0.01)*P18</f>
        <v>-0.27736030664177957</v>
      </c>
      <c r="AF18">
        <f>(C18+0.05)*M18</f>
        <v>0.12678232044773211</v>
      </c>
      <c r="AG18">
        <f>(D18-0.05)*P18</f>
        <v>-0.26333513399069541</v>
      </c>
      <c r="AH18">
        <f>(C18+0.1)*M18</f>
        <v>0.15224426829481941</v>
      </c>
      <c r="AI18">
        <f>(D18-0.1)*P18</f>
        <v>-0.2458036681768403</v>
      </c>
      <c r="AK18">
        <f>S18+T18</f>
        <v>-4.7670608704651896E-3</v>
      </c>
      <c r="AL18">
        <f>V18+W18</f>
        <v>0.20201542235618219</v>
      </c>
      <c r="AM18">
        <f t="shared" si="7"/>
        <v>0.45122798456485641</v>
      </c>
      <c r="AN18">
        <f t="shared" si="8"/>
        <v>-0.17954622720390584</v>
      </c>
      <c r="AO18">
        <f t="shared" si="9"/>
        <v>-0.17094754447171734</v>
      </c>
      <c r="AP18">
        <f t="shared" si="10"/>
        <v>-0.13655281354296331</v>
      </c>
      <c r="AQ18">
        <f t="shared" si="11"/>
        <v>-9.3559399882020888E-2</v>
      </c>
    </row>
    <row r="19" spans="1:43" x14ac:dyDescent="0.3">
      <c r="A19">
        <v>10</v>
      </c>
      <c r="B19">
        <v>0.4</v>
      </c>
      <c r="C19">
        <v>0.1</v>
      </c>
      <c r="D19">
        <f t="shared" si="0"/>
        <v>0.9</v>
      </c>
      <c r="E19">
        <f t="shared" ref="E19:E32" si="24">SQRT(A19)</f>
        <v>3.1622776601683795</v>
      </c>
      <c r="F19">
        <f t="shared" ref="F19:F32" si="25">A19-1</f>
        <v>9</v>
      </c>
      <c r="G19">
        <f t="shared" ref="G19:G32" si="26">-_xlfn.T.INV(C19,F19)/E19</f>
        <v>0.43735208828025268</v>
      </c>
      <c r="H19">
        <f t="shared" ref="H19:H32" si="27">G19-B19</f>
        <v>3.735208828025266E-2</v>
      </c>
      <c r="I19" s="2">
        <f>_xlfn.T.DIST.RT(E19*H19,F19)</f>
        <v>0.45428430851040552</v>
      </c>
      <c r="J19">
        <f>1-I19</f>
        <v>0.54571569148959442</v>
      </c>
      <c r="L19">
        <f>I19/C19</f>
        <v>4.5428430851040549</v>
      </c>
      <c r="M19">
        <f t="shared" si="5"/>
        <v>0.6573277360551355</v>
      </c>
      <c r="O19">
        <f>J19/D19</f>
        <v>0.60635076832177159</v>
      </c>
      <c r="P19">
        <f t="shared" si="6"/>
        <v>-0.21727606778854547</v>
      </c>
      <c r="R19" s="4">
        <f>_xlfn.T.DIST.RT(E19*(G19-0.2),F19)</f>
        <v>0.23603799615413723</v>
      </c>
      <c r="S19">
        <f>R19*M19</f>
        <v>0.15515432163498979</v>
      </c>
      <c r="T19">
        <f>(1-R19)*P19</f>
        <v>-0.16599066013548672</v>
      </c>
      <c r="U19" s="2">
        <f>_xlfn.T.DIST.RT(E19*(G19-0.4),F19)</f>
        <v>0.45428430851040552</v>
      </c>
      <c r="V19">
        <f>U19*M19</f>
        <v>0.29861367603851757</v>
      </c>
      <c r="W19">
        <f>(1-U19)*P19</f>
        <v>-0.11857095957736609</v>
      </c>
      <c r="X19" s="2">
        <f>_xlfn.T.DIST.RT(E19*(G19-0.8),F19)</f>
        <v>0.8594801592387783</v>
      </c>
      <c r="Y19">
        <f>X19*M19</f>
        <v>0.56496014725673349</v>
      </c>
      <c r="Z19">
        <f>(1-X19)*P19</f>
        <v>-3.0531598446870822E-2</v>
      </c>
      <c r="AB19">
        <f>C19*M19</f>
        <v>6.573277360551355E-2</v>
      </c>
      <c r="AC19">
        <f>D19*P19</f>
        <v>-0.19554846100969092</v>
      </c>
      <c r="AD19">
        <f>(C19+0.01)*M19</f>
        <v>7.2306050966064905E-2</v>
      </c>
      <c r="AE19">
        <f>(D19-0.01)*P19</f>
        <v>-0.19337570033180548</v>
      </c>
      <c r="AF19">
        <f>(C19+0.05)*M19</f>
        <v>9.8599160408270339E-2</v>
      </c>
      <c r="AG19">
        <f>(D19-0.05)*P19</f>
        <v>-0.18468465762026365</v>
      </c>
      <c r="AH19">
        <f>(C19+0.1)*M19</f>
        <v>0.1314655472110271</v>
      </c>
      <c r="AI19">
        <f>(D19-0.1)*P19</f>
        <v>-0.17382085423083637</v>
      </c>
      <c r="AK19">
        <f>S19+T19</f>
        <v>-1.0836338500496923E-2</v>
      </c>
      <c r="AL19">
        <f>V19+W19</f>
        <v>0.1800427164611515</v>
      </c>
      <c r="AM19">
        <f t="shared" si="7"/>
        <v>0.53442854880986268</v>
      </c>
      <c r="AN19">
        <f t="shared" si="8"/>
        <v>-0.12981568740417737</v>
      </c>
      <c r="AO19">
        <f t="shared" si="9"/>
        <v>-0.12106964936574058</v>
      </c>
      <c r="AP19">
        <f t="shared" si="10"/>
        <v>-8.6085497211993309E-2</v>
      </c>
      <c r="AQ19">
        <f t="shared" si="11"/>
        <v>-4.2355307019809274E-2</v>
      </c>
    </row>
    <row r="20" spans="1:43" x14ac:dyDescent="0.3">
      <c r="A20">
        <v>10</v>
      </c>
      <c r="B20">
        <v>0.4</v>
      </c>
      <c r="C20">
        <v>0.05</v>
      </c>
      <c r="D20">
        <f t="shared" si="0"/>
        <v>0.95</v>
      </c>
      <c r="E20">
        <f t="shared" si="24"/>
        <v>3.1622776601683795</v>
      </c>
      <c r="F20">
        <f t="shared" si="25"/>
        <v>9</v>
      </c>
      <c r="G20">
        <f t="shared" si="26"/>
        <v>0.57968120755045616</v>
      </c>
      <c r="H20">
        <f t="shared" si="27"/>
        <v>0.17968120755045613</v>
      </c>
      <c r="I20" s="2">
        <f>_xlfn.T.DIST.RT(E20*H20,F20)</f>
        <v>0.29189696722150948</v>
      </c>
      <c r="J20">
        <f>1-I20</f>
        <v>0.70810303277849052</v>
      </c>
      <c r="L20">
        <f>I20/C20</f>
        <v>5.8379393444301897</v>
      </c>
      <c r="M20">
        <f t="shared" si="5"/>
        <v>0.76625957840189074</v>
      </c>
      <c r="O20">
        <f>J20/D20</f>
        <v>0.74537161345104264</v>
      </c>
      <c r="P20">
        <f t="shared" si="6"/>
        <v>-0.12762715083133402</v>
      </c>
      <c r="R20" s="4">
        <f>_xlfn.T.DIST.RT(E20*(G20-0.2),F20)</f>
        <v>0.13026519081741106</v>
      </c>
      <c r="S20">
        <f>R20*M20</f>
        <v>9.9816950196191245E-2</v>
      </c>
      <c r="T20">
        <f>(1-R20)*P20</f>
        <v>-0.11100177567480779</v>
      </c>
      <c r="U20" s="2">
        <f>_xlfn.T.DIST.RT(E20*(G20-0.4),F20)</f>
        <v>0.29189696722150948</v>
      </c>
      <c r="V20">
        <f>U20*M20</f>
        <v>0.22366884703994439</v>
      </c>
      <c r="W20">
        <f>(1-U20)*P20</f>
        <v>-9.0373172568545476E-2</v>
      </c>
      <c r="X20" s="2">
        <f>_xlfn.T.DIST.RT(E20*(G20-0.8),F20)</f>
        <v>0.74820967955516515</v>
      </c>
      <c r="Y20">
        <f>X20*M20</f>
        <v>0.57332283361215464</v>
      </c>
      <c r="Z20">
        <f>(1-X20)*P20</f>
        <v>-3.2135281205282862E-2</v>
      </c>
      <c r="AB20">
        <f>C20*M20</f>
        <v>3.831297892009454E-2</v>
      </c>
      <c r="AC20">
        <f>D20*P20</f>
        <v>-0.12124579328976731</v>
      </c>
      <c r="AD20">
        <f>(C20+0.01)*M20</f>
        <v>4.5975574704113446E-2</v>
      </c>
      <c r="AE20">
        <f>(D20-0.01)*P20</f>
        <v>-0.11996952178145398</v>
      </c>
      <c r="AF20">
        <f>(C20+0.05)*M20</f>
        <v>7.662595784018908E-2</v>
      </c>
      <c r="AG20">
        <f>(D20-0.05)*P20</f>
        <v>-0.11486443574820061</v>
      </c>
      <c r="AH20">
        <f>(C20+0.1)*M20</f>
        <v>0.11493893676028363</v>
      </c>
      <c r="AI20">
        <f>(D20-0.1)*P20</f>
        <v>-0.10848307820663391</v>
      </c>
      <c r="AK20">
        <f>S20+T20</f>
        <v>-1.1184825478616545E-2</v>
      </c>
      <c r="AL20">
        <f>V20+W20</f>
        <v>0.1332956744713989</v>
      </c>
      <c r="AM20">
        <f t="shared" si="7"/>
        <v>0.54118755240687177</v>
      </c>
      <c r="AN20">
        <f t="shared" si="8"/>
        <v>-8.2932814369672772E-2</v>
      </c>
      <c r="AO20">
        <f t="shared" si="9"/>
        <v>-7.3993947077340527E-2</v>
      </c>
      <c r="AP20">
        <f t="shared" si="10"/>
        <v>-3.8238477908011534E-2</v>
      </c>
      <c r="AQ20">
        <f t="shared" si="11"/>
        <v>6.4558585536497182E-3</v>
      </c>
    </row>
    <row r="21" spans="1:43" x14ac:dyDescent="0.3">
      <c r="A21">
        <v>10</v>
      </c>
      <c r="B21">
        <v>0.4</v>
      </c>
      <c r="C21">
        <v>0.02</v>
      </c>
      <c r="D21">
        <f t="shared" si="0"/>
        <v>0.98</v>
      </c>
      <c r="E21">
        <f t="shared" si="24"/>
        <v>3.1622776601683795</v>
      </c>
      <c r="F21">
        <f t="shared" si="25"/>
        <v>9</v>
      </c>
      <c r="G21">
        <f t="shared" si="26"/>
        <v>0.75845363456439774</v>
      </c>
      <c r="H21">
        <f t="shared" si="27"/>
        <v>0.35845363456439772</v>
      </c>
      <c r="I21" s="2">
        <f>_xlfn.T.DIST.RT(E21*H21,F21)</f>
        <v>0.14314141738935346</v>
      </c>
      <c r="J21">
        <f>1-I21</f>
        <v>0.85685858261064651</v>
      </c>
      <c r="L21">
        <f>I21/C21</f>
        <v>7.157070869467673</v>
      </c>
      <c r="M21">
        <f t="shared" si="5"/>
        <v>0.85473531762841226</v>
      </c>
      <c r="O21">
        <f>J21/D21</f>
        <v>0.87434549245984339</v>
      </c>
      <c r="P21">
        <f t="shared" si="6"/>
        <v>-5.8316924550776472E-2</v>
      </c>
      <c r="R21" s="4">
        <f>_xlfn.T.DIST.RT(E21*(G21-0.2),F21)</f>
        <v>5.5604145400447162E-2</v>
      </c>
      <c r="S21">
        <f>R21*M21</f>
        <v>4.7526826880307627E-2</v>
      </c>
      <c r="T21">
        <f>(1-R21)*P21</f>
        <v>-5.5074261798748192E-2</v>
      </c>
      <c r="U21" s="2">
        <f>_xlfn.T.DIST.RT(E21*(G21-0.4),F21)</f>
        <v>0.14314141738935346</v>
      </c>
      <c r="V21">
        <f>U21*M21</f>
        <v>0.12234802485807016</v>
      </c>
      <c r="W21">
        <f>(1-U21)*P21</f>
        <v>-4.9969357312790341E-2</v>
      </c>
      <c r="X21" s="2">
        <f>_xlfn.T.DIST.RT(E21*(G21-0.8),F21)</f>
        <v>0.5508180725573526</v>
      </c>
      <c r="Y21">
        <f>X21*M21</f>
        <v>0.47080366020277858</v>
      </c>
      <c r="Z21">
        <f>(1-X21)*P21</f>
        <v>-2.6194908572245219E-2</v>
      </c>
      <c r="AB21">
        <f>C21*M21</f>
        <v>1.7094706352568247E-2</v>
      </c>
      <c r="AC21">
        <f>D21*P21</f>
        <v>-5.7150586059760942E-2</v>
      </c>
      <c r="AD21">
        <f>(C21+0.01)*M21</f>
        <v>2.5642059528852366E-2</v>
      </c>
      <c r="AE21">
        <f>(D21-0.01)*P21</f>
        <v>-5.6567416814253174E-2</v>
      </c>
      <c r="AF21">
        <f>(C21+0.05)*M21</f>
        <v>5.9831472233988867E-2</v>
      </c>
      <c r="AG21">
        <f>(D21-0.05)*P21</f>
        <v>-5.4234739832222115E-2</v>
      </c>
      <c r="AH21">
        <f>(C21+0.1)*M21</f>
        <v>0.10256823811540948</v>
      </c>
      <c r="AI21">
        <f>(D21-0.1)*P21</f>
        <v>-5.1318893604683294E-2</v>
      </c>
      <c r="AK21">
        <f>S21+T21</f>
        <v>-7.5474349184405654E-3</v>
      </c>
      <c r="AL21">
        <f>V21+W21</f>
        <v>7.2378667545279815E-2</v>
      </c>
      <c r="AM21">
        <f t="shared" si="7"/>
        <v>0.44460875163053337</v>
      </c>
      <c r="AN21">
        <f t="shared" si="8"/>
        <v>-4.0055879707192696E-2</v>
      </c>
      <c r="AO21">
        <f t="shared" si="9"/>
        <v>-3.0925357285400808E-2</v>
      </c>
      <c r="AP21">
        <f t="shared" si="10"/>
        <v>5.5967324017667519E-3</v>
      </c>
      <c r="AQ21">
        <f t="shared" si="11"/>
        <v>5.1249344510726186E-2</v>
      </c>
    </row>
    <row r="22" spans="1:43" x14ac:dyDescent="0.3">
      <c r="A22">
        <v>10</v>
      </c>
      <c r="B22">
        <v>0.4</v>
      </c>
      <c r="C22">
        <v>0.01</v>
      </c>
      <c r="D22">
        <f t="shared" si="0"/>
        <v>0.99</v>
      </c>
      <c r="E22">
        <f t="shared" si="24"/>
        <v>3.1622776601683795</v>
      </c>
      <c r="F22">
        <f t="shared" si="25"/>
        <v>9</v>
      </c>
      <c r="G22">
        <f t="shared" si="26"/>
        <v>0.89221701198609404</v>
      </c>
      <c r="H22">
        <f t="shared" si="27"/>
        <v>0.49221701198609402</v>
      </c>
      <c r="I22" s="2">
        <f>_xlfn.T.DIST.RT(E22*H22,F22)</f>
        <v>7.7003945877759439E-2</v>
      </c>
      <c r="J22">
        <f>1-I22</f>
        <v>0.92299605412224062</v>
      </c>
      <c r="L22">
        <f>I22/C22</f>
        <v>7.7003945877759437</v>
      </c>
      <c r="M22">
        <f t="shared" si="5"/>
        <v>0.88651298009494894</v>
      </c>
      <c r="O22">
        <f>J22/D22</f>
        <v>0.93231924658812182</v>
      </c>
      <c r="P22">
        <f t="shared" si="6"/>
        <v>-3.0435350209341225E-2</v>
      </c>
      <c r="R22" s="4">
        <f>_xlfn.T.DIST.RT(E22*(G22-0.2),F22)</f>
        <v>2.8171816279786436E-2</v>
      </c>
      <c r="S22">
        <f>R22*M22</f>
        <v>2.4974680804880873E-2</v>
      </c>
      <c r="T22">
        <f>(1-R22)*P22</f>
        <v>-2.9577931114832704E-2</v>
      </c>
      <c r="U22" s="2">
        <f>_xlfn.T.DIST.RT(E22*(G22-0.4),F22)</f>
        <v>7.7003945877759439E-2</v>
      </c>
      <c r="V22">
        <f>U22*M22</f>
        <v>6.8264997539162681E-2</v>
      </c>
      <c r="W22">
        <f>(1-U22)*P22</f>
        <v>-2.8091708149050459E-2</v>
      </c>
      <c r="X22" s="2">
        <f>_xlfn.T.DIST.RT(E22*(G22-0.8),F22)</f>
        <v>0.38859506302224545</v>
      </c>
      <c r="Y22">
        <f>X22*M22</f>
        <v>0.34449456737003531</v>
      </c>
      <c r="Z22">
        <f>(1-X22)*P22</f>
        <v>-1.8608323376638161E-2</v>
      </c>
      <c r="AB22">
        <f>C22*M22</f>
        <v>8.8651298009494901E-3</v>
      </c>
      <c r="AC22">
        <f>D22*P22</f>
        <v>-3.0130996707247813E-2</v>
      </c>
      <c r="AD22">
        <f>(C22+0.01)*M22</f>
        <v>1.773025960189898E-2</v>
      </c>
      <c r="AE22">
        <f>(D22-0.01)*P22</f>
        <v>-2.98266432051544E-2</v>
      </c>
      <c r="AF22">
        <f>(C22+0.05)*M22</f>
        <v>5.3190778805696941E-2</v>
      </c>
      <c r="AG22">
        <f>(D22-0.05)*P22</f>
        <v>-2.8609229196780751E-2</v>
      </c>
      <c r="AH22">
        <f>(C22+0.1)*M22</f>
        <v>9.7516427810444381E-2</v>
      </c>
      <c r="AI22">
        <f>(D22-0.1)*P22</f>
        <v>-2.708746168631369E-2</v>
      </c>
      <c r="AK22">
        <f>S22+T22</f>
        <v>-4.6032503099518313E-3</v>
      </c>
      <c r="AL22">
        <f>V22+W22</f>
        <v>4.0173289390112221E-2</v>
      </c>
      <c r="AM22">
        <f t="shared" si="7"/>
        <v>0.32588624399339716</v>
      </c>
      <c r="AN22">
        <f t="shared" si="8"/>
        <v>-2.1265866906298322E-2</v>
      </c>
      <c r="AO22">
        <f t="shared" si="9"/>
        <v>-1.209638360325542E-2</v>
      </c>
      <c r="AP22">
        <f t="shared" si="10"/>
        <v>2.4581549608916189E-2</v>
      </c>
      <c r="AQ22">
        <f t="shared" si="11"/>
        <v>7.0428966124130687E-2</v>
      </c>
    </row>
    <row r="23" spans="1:43" x14ac:dyDescent="0.3">
      <c r="A23">
        <v>10</v>
      </c>
      <c r="B23">
        <v>0.4</v>
      </c>
      <c r="C23">
        <v>5.0000000000000001E-3</v>
      </c>
      <c r="D23">
        <f t="shared" ref="D23" si="28">1-C23</f>
        <v>0.995</v>
      </c>
      <c r="E23">
        <f t="shared" ref="E23" si="29">SQRT(A23)</f>
        <v>3.1622776601683795</v>
      </c>
      <c r="F23">
        <f t="shared" ref="F23" si="30">A23-1</f>
        <v>9</v>
      </c>
      <c r="G23">
        <f t="shared" ref="G23" si="31">-_xlfn.T.INV(C23,F23)/E23</f>
        <v>1.0276882332397985</v>
      </c>
      <c r="H23">
        <f t="shared" ref="H23" si="32">G23-B23</f>
        <v>0.6276882332397985</v>
      </c>
      <c r="I23" s="2">
        <f>_xlfn.T.DIST.RT(E23*H23,F23)</f>
        <v>3.921760791995027E-2</v>
      </c>
      <c r="J23">
        <f>1-I23</f>
        <v>0.96078239208004979</v>
      </c>
      <c r="L23">
        <f>I23/C23</f>
        <v>7.8435215839900536</v>
      </c>
      <c r="M23">
        <f t="shared" ref="M23" si="33">LOG10(L23)</f>
        <v>0.89451109598891054</v>
      </c>
      <c r="O23">
        <f>J23/D23</f>
        <v>0.96561044430155762</v>
      </c>
      <c r="P23">
        <f t="shared" ref="P23" si="34">LOG10(O23)</f>
        <v>-1.5198045439701657E-2</v>
      </c>
      <c r="R23" s="4">
        <f>_xlfn.T.DIST.RT(E23*(G23-0.2),F23)</f>
        <v>1.3965338864535834E-2</v>
      </c>
      <c r="S23">
        <f>R23*M23</f>
        <v>1.2492150573572476E-2</v>
      </c>
      <c r="T23">
        <f>(1-R23)*P23</f>
        <v>-1.4985799585057609E-2</v>
      </c>
      <c r="U23" s="2">
        <f>_xlfn.T.DIST.RT(E23*(G23-0.4),F23)</f>
        <v>3.921760791995027E-2</v>
      </c>
      <c r="V23">
        <f>U23*M23</f>
        <v>3.5080585442538094E-2</v>
      </c>
      <c r="W23">
        <f>(1-U23)*P23</f>
        <v>-1.460201445249785E-2</v>
      </c>
      <c r="X23" s="2">
        <f>_xlfn.T.DIST.RT(E23*(G23-0.8),F23)</f>
        <v>0.24489601991672633</v>
      </c>
      <c r="Y23">
        <f>X23*M23</f>
        <v>0.21906220717903294</v>
      </c>
      <c r="Z23">
        <f>(1-X23)*P23</f>
        <v>-1.147610460100517E-2</v>
      </c>
      <c r="AB23">
        <f>C23*M23</f>
        <v>4.4725554799445524E-3</v>
      </c>
      <c r="AC23">
        <f>D23*P23</f>
        <v>-1.5122055212503149E-2</v>
      </c>
      <c r="AD23">
        <f>(C23+0.01)*M23</f>
        <v>1.3417666439833657E-2</v>
      </c>
      <c r="AE23">
        <f>(D23-0.01)*P23</f>
        <v>-1.4970074758106132E-2</v>
      </c>
      <c r="AF23">
        <f>(C23+0.05)*M23</f>
        <v>4.9198110279390077E-2</v>
      </c>
      <c r="AG23">
        <f>(D23-0.05)*P23</f>
        <v>-1.4362152940518066E-2</v>
      </c>
      <c r="AH23">
        <f>(C23+0.1)*M23</f>
        <v>9.3923665078835622E-2</v>
      </c>
      <c r="AI23">
        <f>(D23-0.1)*P23</f>
        <v>-1.3602250668532984E-2</v>
      </c>
      <c r="AK23">
        <f>S23+T23</f>
        <v>-2.4936490114851328E-3</v>
      </c>
      <c r="AL23">
        <f>V23+W23</f>
        <v>2.0478570990040246E-2</v>
      </c>
      <c r="AM23">
        <f t="shared" ref="AM23" si="35">Y23+Z23</f>
        <v>0.20758610257802776</v>
      </c>
      <c r="AN23">
        <f t="shared" ref="AN23" si="36">AB23+AC23</f>
        <v>-1.0649499732558597E-2</v>
      </c>
      <c r="AO23">
        <f t="shared" ref="AO23" si="37">AD23+AE23</f>
        <v>-1.5524083182724743E-3</v>
      </c>
      <c r="AP23">
        <f t="shared" ref="AP23" si="38">AF23+AG23</f>
        <v>3.4835957338872015E-2</v>
      </c>
      <c r="AQ23">
        <f t="shared" ref="AQ23" si="39">AH23+AI23</f>
        <v>8.0321414410302633E-2</v>
      </c>
    </row>
    <row r="24" spans="1:43" x14ac:dyDescent="0.3">
      <c r="A24">
        <v>10</v>
      </c>
      <c r="B24">
        <v>0.4</v>
      </c>
      <c r="C24">
        <v>2E-3</v>
      </c>
      <c r="D24">
        <f t="shared" si="0"/>
        <v>0.998</v>
      </c>
      <c r="E24">
        <f t="shared" si="24"/>
        <v>3.1622776601683795</v>
      </c>
      <c r="F24">
        <f t="shared" si="25"/>
        <v>9</v>
      </c>
      <c r="G24">
        <f t="shared" si="26"/>
        <v>1.212578616293893</v>
      </c>
      <c r="H24">
        <f t="shared" si="27"/>
        <v>0.81257861629389294</v>
      </c>
      <c r="I24" s="2">
        <f>_xlfn.T.DIST.RT(E24*H24,F24)</f>
        <v>1.5103825629710332E-2</v>
      </c>
      <c r="J24">
        <f>1-I24</f>
        <v>0.98489617437028965</v>
      </c>
      <c r="L24">
        <f>I24/C24</f>
        <v>7.5519128148551662</v>
      </c>
      <c r="M24">
        <f t="shared" si="5"/>
        <v>0.87805696748626916</v>
      </c>
      <c r="O24">
        <f>J24/D24</f>
        <v>0.98686991419868697</v>
      </c>
      <c r="P24">
        <f t="shared" si="6"/>
        <v>-5.7400907640461196E-3</v>
      </c>
      <c r="R24" s="4">
        <f>_xlfn.T.DIST.RT(E24*(G24-0.2),F24)</f>
        <v>5.3978245323618185E-3</v>
      </c>
      <c r="S24">
        <f>R24*M24</f>
        <v>4.7395974399086077E-3</v>
      </c>
      <c r="T24">
        <f>(1-R24)*P24</f>
        <v>-5.7091067613019679E-3</v>
      </c>
      <c r="U24" s="2">
        <f>_xlfn.T.DIST.RT(E24*(G24-0.4),F24)</f>
        <v>1.5103825629710332E-2</v>
      </c>
      <c r="V24">
        <f>U24*M24</f>
        <v>1.3262019329864844E-2</v>
      </c>
      <c r="W24">
        <f>(1-U24)*P24</f>
        <v>-5.6533934340472561E-3</v>
      </c>
      <c r="X24" s="2">
        <f>_xlfn.T.DIST.RT(E24*(G24-0.8),F24)</f>
        <v>0.11218590065965345</v>
      </c>
      <c r="Y24">
        <f>X24*M24</f>
        <v>9.8505611727931153E-2</v>
      </c>
      <c r="Z24">
        <f>(1-X24)*P24</f>
        <v>-5.0961335118134467E-3</v>
      </c>
      <c r="AB24">
        <f>C24*M24</f>
        <v>1.7561139349725383E-3</v>
      </c>
      <c r="AC24">
        <f>D24*P24</f>
        <v>-5.7286105825180272E-3</v>
      </c>
      <c r="AD24">
        <f>(C24+0.01)*M24</f>
        <v>1.0536683609835231E-2</v>
      </c>
      <c r="AE24">
        <f>(D24-0.01)*P24</f>
        <v>-5.6712096748775661E-3</v>
      </c>
      <c r="AF24">
        <f>(C24+0.05)*M24</f>
        <v>4.5658962309285997E-2</v>
      </c>
      <c r="AG24">
        <f>(D24-0.05)*P24</f>
        <v>-5.4416060443157211E-3</v>
      </c>
      <c r="AH24">
        <f>(C24+0.1)*M24</f>
        <v>8.956181068359946E-2</v>
      </c>
      <c r="AI24">
        <f>(D24-0.1)*P24</f>
        <v>-5.154601506113415E-3</v>
      </c>
      <c r="AK24">
        <f>S24+T24</f>
        <v>-9.6950932139336019E-4</v>
      </c>
      <c r="AL24">
        <f>V24+W24</f>
        <v>7.6086258958175876E-3</v>
      </c>
      <c r="AM24">
        <f t="shared" si="7"/>
        <v>9.3409478216117711E-2</v>
      </c>
      <c r="AN24">
        <f t="shared" si="8"/>
        <v>-3.9724966475454884E-3</v>
      </c>
      <c r="AO24">
        <f t="shared" si="9"/>
        <v>4.8654739349576646E-3</v>
      </c>
      <c r="AP24">
        <f t="shared" si="10"/>
        <v>4.0217356264970278E-2</v>
      </c>
      <c r="AQ24">
        <f t="shared" si="11"/>
        <v>8.4407209177486051E-2</v>
      </c>
    </row>
    <row r="25" spans="1:43" x14ac:dyDescent="0.3">
      <c r="A25">
        <v>10</v>
      </c>
      <c r="B25">
        <v>0.4</v>
      </c>
      <c r="C25">
        <v>1E-3</v>
      </c>
      <c r="D25">
        <f t="shared" si="0"/>
        <v>0.999</v>
      </c>
      <c r="E25">
        <f t="shared" si="24"/>
        <v>3.1622776601683795</v>
      </c>
      <c r="F25">
        <f t="shared" si="25"/>
        <v>9</v>
      </c>
      <c r="G25">
        <f t="shared" si="26"/>
        <v>1.3587692557335809</v>
      </c>
      <c r="H25">
        <f t="shared" si="27"/>
        <v>0.95876925573358085</v>
      </c>
      <c r="I25" s="2">
        <f>_xlfn.T.DIST.RT(E25*H25,F25)</f>
        <v>7.1015248540735928E-3</v>
      </c>
      <c r="J25">
        <f>1-I25</f>
        <v>0.99289847514592644</v>
      </c>
      <c r="L25">
        <f>I25/C25</f>
        <v>7.1015248540735927</v>
      </c>
      <c r="M25">
        <f t="shared" si="5"/>
        <v>0.85135161133970494</v>
      </c>
      <c r="O25">
        <f>J25/D25</f>
        <v>0.9938923675134399</v>
      </c>
      <c r="P25">
        <f t="shared" si="6"/>
        <v>-2.6606445020337138E-3</v>
      </c>
      <c r="R25" s="4">
        <f>_xlfn.T.DIST.RT(E25*(G25-0.2),F25)</f>
        <v>2.6001309052039248E-3</v>
      </c>
      <c r="S25">
        <f>R25*M25</f>
        <v>2.2136256358395272E-3</v>
      </c>
      <c r="T25">
        <f>(1-R25)*P25</f>
        <v>-2.6537264780362151E-3</v>
      </c>
      <c r="U25" s="2">
        <f>_xlfn.T.DIST.RT(E25*(G25-0.4),F25)</f>
        <v>7.1015248540735928E-3</v>
      </c>
      <c r="V25">
        <f>U25*M25</f>
        <v>6.0458946274845162E-3</v>
      </c>
      <c r="W25">
        <f>(1-U25)*P25</f>
        <v>-2.6417498689746671E-3</v>
      </c>
      <c r="X25" s="2">
        <f>_xlfn.T.DIST.RT(E25*(G25-0.8),F25)</f>
        <v>5.5516716976493602E-2</v>
      </c>
      <c r="Y25">
        <f>X25*M25</f>
        <v>4.7264246454228179E-2</v>
      </c>
      <c r="Z25">
        <f>(1-X25)*P25</f>
        <v>-2.5129342542392443E-3</v>
      </c>
      <c r="AB25">
        <f>C25*M25</f>
        <v>8.5135161133970496E-4</v>
      </c>
      <c r="AC25">
        <f>D25*P25</f>
        <v>-2.6579838575316803E-3</v>
      </c>
      <c r="AD25">
        <f>(C25+0.01)*M25</f>
        <v>9.3648677247367539E-3</v>
      </c>
      <c r="AE25">
        <f>(D25-0.01)*P25</f>
        <v>-2.6313774125113431E-3</v>
      </c>
      <c r="AF25">
        <f>(C25+0.05)*M25</f>
        <v>4.3418932178324952E-2</v>
      </c>
      <c r="AG25">
        <f>(D25-0.05)*P25</f>
        <v>-2.5249516324299943E-3</v>
      </c>
      <c r="AH25">
        <f>(C25+0.1)*M25</f>
        <v>8.5986512745310203E-2</v>
      </c>
      <c r="AI25">
        <f>(D25-0.1)*P25</f>
        <v>-2.3919194073283088E-3</v>
      </c>
      <c r="AK25">
        <f>S25+T25</f>
        <v>-4.4010084219668795E-4</v>
      </c>
      <c r="AL25">
        <f>V25+W25</f>
        <v>3.4041447585098491E-3</v>
      </c>
      <c r="AM25">
        <f t="shared" si="7"/>
        <v>4.4751312199988937E-2</v>
      </c>
      <c r="AN25">
        <f t="shared" si="8"/>
        <v>-1.8066322461919753E-3</v>
      </c>
      <c r="AO25">
        <f t="shared" si="9"/>
        <v>6.7334903122254104E-3</v>
      </c>
      <c r="AP25">
        <f t="shared" si="10"/>
        <v>4.0893980545894958E-2</v>
      </c>
      <c r="AQ25">
        <f t="shared" si="11"/>
        <v>8.3594593337981901E-2</v>
      </c>
    </row>
    <row r="26" spans="1:43" x14ac:dyDescent="0.3">
      <c r="A26">
        <v>10</v>
      </c>
      <c r="B26">
        <v>0.4</v>
      </c>
      <c r="C26">
        <v>1E-4</v>
      </c>
      <c r="D26">
        <f t="shared" si="0"/>
        <v>0.99990000000000001</v>
      </c>
      <c r="E26">
        <f t="shared" si="24"/>
        <v>3.1622776601683795</v>
      </c>
      <c r="F26">
        <f t="shared" si="25"/>
        <v>9</v>
      </c>
      <c r="G26">
        <f t="shared" si="26"/>
        <v>1.9005706566454459</v>
      </c>
      <c r="H26">
        <f t="shared" si="27"/>
        <v>1.5005706566454458</v>
      </c>
      <c r="I26" s="2">
        <f>_xlfn.T.DIST.RT(E26*H26,F26)</f>
        <v>5.2560420708021229E-4</v>
      </c>
      <c r="J26">
        <f>1-I26</f>
        <v>0.99947439579291975</v>
      </c>
      <c r="L26">
        <f>I26/C26</f>
        <v>5.2560420708021223</v>
      </c>
      <c r="M26">
        <f t="shared" si="5"/>
        <v>0.72065883277776832</v>
      </c>
      <c r="O26">
        <f>J26/D26</f>
        <v>0.99957435322824251</v>
      </c>
      <c r="P26">
        <f t="shared" si="6"/>
        <v>-1.8489539707078234E-4</v>
      </c>
      <c r="R26" s="4">
        <f>_xlfn.T.DIST.RT(E26*(G26-0.2),F26)</f>
        <v>2.2292542782977487E-4</v>
      </c>
      <c r="S26">
        <f>R26*M26</f>
        <v>1.6065317861629018E-4</v>
      </c>
      <c r="T26">
        <f>(1-R26)*P26</f>
        <v>-1.8485417918528659E-4</v>
      </c>
      <c r="U26" s="2">
        <f>_xlfn.T.DIST.RT(E26*(G26-0.4),F26)</f>
        <v>5.2560420708021229E-4</v>
      </c>
      <c r="V26">
        <f>U26*M26</f>
        <v>3.7878131437751021E-4</v>
      </c>
      <c r="W26">
        <f>(1-U26)*P26</f>
        <v>-1.8479821527221215E-4</v>
      </c>
      <c r="X26" s="2">
        <f>_xlfn.T.DIST.RT(E26*(G26-0.8),F26)</f>
        <v>3.4675851614543356E-3</v>
      </c>
      <c r="Y26">
        <f>X26*M26</f>
        <v>2.4989458750111909E-3</v>
      </c>
      <c r="Z26">
        <f>(1-X26)*P26</f>
        <v>-1.842542565354785E-4</v>
      </c>
      <c r="AB26">
        <f>C26*M26</f>
        <v>7.2065883277776829E-5</v>
      </c>
      <c r="AC26">
        <f>D26*P26</f>
        <v>-1.8487690753107527E-4</v>
      </c>
      <c r="AD26">
        <f>(C26+0.01)*M26</f>
        <v>7.2786542110554594E-3</v>
      </c>
      <c r="AE26">
        <f>(D26-0.01)*P26</f>
        <v>-1.8302795356036743E-4</v>
      </c>
      <c r="AF26">
        <f>(C26+0.05)*M26</f>
        <v>3.6105007522166194E-2</v>
      </c>
      <c r="AG26">
        <f>(D26-0.05)*P26</f>
        <v>-1.7563213767753615E-4</v>
      </c>
      <c r="AH26">
        <f>(C26+0.1)*M26</f>
        <v>7.2137949161054621E-2</v>
      </c>
      <c r="AI26">
        <f>(D26-0.1)*P26</f>
        <v>-1.6638736782399703E-4</v>
      </c>
      <c r="AK26">
        <f>S26+T26</f>
        <v>-2.4201000568996409E-5</v>
      </c>
      <c r="AL26">
        <f>V26+W26</f>
        <v>1.9398309910529805E-4</v>
      </c>
      <c r="AM26">
        <f t="shared" si="7"/>
        <v>2.3146916184757123E-3</v>
      </c>
      <c r="AN26">
        <f t="shared" si="8"/>
        <v>-1.1281102425329844E-4</v>
      </c>
      <c r="AO26">
        <f t="shared" si="9"/>
        <v>7.0956262574950919E-3</v>
      </c>
      <c r="AP26">
        <f t="shared" si="10"/>
        <v>3.5929375384488656E-2</v>
      </c>
      <c r="AQ26">
        <f t="shared" si="11"/>
        <v>7.1971561793230623E-2</v>
      </c>
    </row>
    <row r="27" spans="1:43" x14ac:dyDescent="0.3">
      <c r="A27">
        <v>10</v>
      </c>
      <c r="B27">
        <v>0.4</v>
      </c>
      <c r="C27">
        <v>1.0000000000000001E-5</v>
      </c>
      <c r="D27">
        <f t="shared" si="0"/>
        <v>0.99999000000000005</v>
      </c>
      <c r="E27">
        <f t="shared" si="24"/>
        <v>3.1622776601683795</v>
      </c>
      <c r="F27">
        <f t="shared" si="25"/>
        <v>9</v>
      </c>
      <c r="G27">
        <f t="shared" si="26"/>
        <v>2.5620956633401439</v>
      </c>
      <c r="H27">
        <f t="shared" si="27"/>
        <v>2.162095663340144</v>
      </c>
      <c r="I27" s="2">
        <f>_xlfn.T.DIST.RT(E27*H27,F27)</f>
        <v>3.7909471936612205E-5</v>
      </c>
      <c r="J27">
        <f>1-I27</f>
        <v>0.9999620905280634</v>
      </c>
      <c r="L27">
        <f>I27/C27</f>
        <v>3.79094719366122</v>
      </c>
      <c r="M27">
        <f t="shared" si="5"/>
        <v>0.57874773492464926</v>
      </c>
      <c r="O27">
        <f>J27/D27</f>
        <v>0.99997209024896583</v>
      </c>
      <c r="P27">
        <f t="shared" si="6"/>
        <v>-1.212122001633772E-5</v>
      </c>
      <c r="R27" s="4">
        <f>_xlfn.T.DIST.RT(E27*(G27-0.2),F27)</f>
        <v>1.9062996937799218E-5</v>
      </c>
      <c r="S27">
        <f>R27*M27</f>
        <v>1.1032666298626823E-5</v>
      </c>
      <c r="T27">
        <f>(1-R27)*P27</f>
        <v>-1.2120988949557666E-5</v>
      </c>
      <c r="U27" s="2">
        <f>_xlfn.T.DIST.RT(E27*(G27-0.4),F27)</f>
        <v>3.7909471936612205E-5</v>
      </c>
      <c r="V27">
        <f>U27*M27</f>
        <v>2.1940021015503872E-5</v>
      </c>
      <c r="W27">
        <f>(1-U27)*P27</f>
        <v>-1.2120760507287673E-5</v>
      </c>
      <c r="X27" s="2">
        <f>_xlfn.T.DIST.RT(E27*(G27-0.8),F27)</f>
        <v>1.7319273863568814E-4</v>
      </c>
      <c r="Y27">
        <f>X27*M27</f>
        <v>1.0023490519080131E-4</v>
      </c>
      <c r="Z27">
        <f>(1-X27)*P27</f>
        <v>-1.2119120709047486E-5</v>
      </c>
      <c r="AB27">
        <f>C27*M27</f>
        <v>5.7874773492464933E-6</v>
      </c>
      <c r="AC27">
        <f>D27*P27</f>
        <v>-1.2121098804137558E-5</v>
      </c>
      <c r="AD27">
        <f>(C27+0.01)*M27</f>
        <v>5.7932648265957391E-3</v>
      </c>
      <c r="AE27">
        <f>(D27-0.01)*P27</f>
        <v>-1.199988660397418E-5</v>
      </c>
      <c r="AF27">
        <f>(C27+0.05)*M27</f>
        <v>2.8943174223581714E-2</v>
      </c>
      <c r="AG27">
        <f>(D27-0.05)*P27</f>
        <v>-1.151503780332067E-5</v>
      </c>
      <c r="AH27">
        <f>(C27+0.1)*M27</f>
        <v>5.7880560969814171E-2</v>
      </c>
      <c r="AI27">
        <f>(D27-0.1)*P27</f>
        <v>-1.0908976802503786E-5</v>
      </c>
      <c r="AK27">
        <f>S27+T27</f>
        <v>-1.0883226509308435E-6</v>
      </c>
      <c r="AL27">
        <f>V27+W27</f>
        <v>9.8192605082161989E-6</v>
      </c>
      <c r="AM27">
        <f t="shared" si="7"/>
        <v>8.8115784481753814E-5</v>
      </c>
      <c r="AN27">
        <f t="shared" si="8"/>
        <v>-6.333621454891065E-6</v>
      </c>
      <c r="AO27">
        <f t="shared" si="9"/>
        <v>5.7812649399917653E-3</v>
      </c>
      <c r="AP27">
        <f t="shared" si="10"/>
        <v>2.8931659185778395E-2</v>
      </c>
      <c r="AQ27">
        <f t="shared" si="11"/>
        <v>5.7869651993011667E-2</v>
      </c>
    </row>
    <row r="28" spans="1:43" x14ac:dyDescent="0.3">
      <c r="A28">
        <v>10</v>
      </c>
      <c r="B28">
        <v>0.4</v>
      </c>
      <c r="C28">
        <v>9.9999999999999995E-7</v>
      </c>
      <c r="D28">
        <f t="shared" si="0"/>
        <v>0.99999899999999997</v>
      </c>
      <c r="E28">
        <f t="shared" si="24"/>
        <v>3.1622776601683795</v>
      </c>
      <c r="F28">
        <f t="shared" si="25"/>
        <v>9</v>
      </c>
      <c r="G28">
        <f t="shared" si="26"/>
        <v>3.3900123777678304</v>
      </c>
      <c r="H28">
        <f t="shared" si="27"/>
        <v>2.9900123777678305</v>
      </c>
      <c r="I28" s="2">
        <f>_xlfn.T.DIST.RT(E28*H28,F28)</f>
        <v>2.8461255762455466E-6</v>
      </c>
      <c r="J28">
        <f>1-I28</f>
        <v>0.99999715387442378</v>
      </c>
      <c r="L28">
        <f>I28/C28</f>
        <v>2.8461255762455466</v>
      </c>
      <c r="M28">
        <f t="shared" si="5"/>
        <v>0.45425405803475316</v>
      </c>
      <c r="O28">
        <f>J28/D28</f>
        <v>0.99999815387257773</v>
      </c>
      <c r="P28">
        <f t="shared" si="6"/>
        <v>-8.0176369246001862E-7</v>
      </c>
      <c r="R28" s="4">
        <f>_xlfn.T.DIST.RT(E28*(G28-0.2),F28)</f>
        <v>1.6636137091698298E-6</v>
      </c>
      <c r="S28">
        <f>R28*M28</f>
        <v>7.5570327839264281E-7</v>
      </c>
      <c r="T28">
        <f>(1-R28)*P28</f>
        <v>-8.0176235863494832E-7</v>
      </c>
      <c r="U28" s="2">
        <f>_xlfn.T.DIST.RT(E28*(G28-0.4),F28)</f>
        <v>2.8461255762455466E-6</v>
      </c>
      <c r="V28">
        <f>U28*M28</f>
        <v>1.2928640926860398E-6</v>
      </c>
      <c r="W28">
        <f>(1-U28)*P28</f>
        <v>-8.0176141053986744E-7</v>
      </c>
      <c r="X28" s="2">
        <f>_xlfn.T.DIST.RT(E28*(G28-0.8),F28)</f>
        <v>9.1674571929052881E-6</v>
      </c>
      <c r="Y28">
        <f>X28*M28</f>
        <v>4.1643546317371141E-6</v>
      </c>
      <c r="Z28">
        <f>(1-X28)*P28</f>
        <v>-8.0175634232568916E-7</v>
      </c>
      <c r="AB28">
        <f>C28*M28</f>
        <v>4.5425405803475316E-7</v>
      </c>
      <c r="AC28">
        <f>D28*P28</f>
        <v>-8.0176289069632615E-7</v>
      </c>
      <c r="AD28">
        <f>(C28+0.01)*M28</f>
        <v>4.5429948344055662E-3</v>
      </c>
      <c r="AE28">
        <f>(D28-0.01)*P28</f>
        <v>-7.9374525377172596E-7</v>
      </c>
      <c r="AF28">
        <f>(C28+0.05)*M28</f>
        <v>2.2713157155795693E-2</v>
      </c>
      <c r="AG28">
        <f>(D28-0.05)*P28</f>
        <v>-7.616747060733252E-7</v>
      </c>
      <c r="AH28">
        <f>(C28+0.1)*M28</f>
        <v>4.5425860057533352E-2</v>
      </c>
      <c r="AI28">
        <f>(D28-0.1)*P28</f>
        <v>-7.2158652145032424E-7</v>
      </c>
      <c r="AK28">
        <f>S28+T28</f>
        <v>-4.6059080242305502E-8</v>
      </c>
      <c r="AL28">
        <f>V28+W28</f>
        <v>4.9110268214617241E-7</v>
      </c>
      <c r="AM28">
        <f t="shared" si="7"/>
        <v>3.3625982894114249E-6</v>
      </c>
      <c r="AN28">
        <f t="shared" si="8"/>
        <v>-3.4750883266157298E-7</v>
      </c>
      <c r="AO28">
        <f t="shared" si="9"/>
        <v>4.5422010891517945E-3</v>
      </c>
      <c r="AP28">
        <f t="shared" si="10"/>
        <v>2.2712395481089619E-2</v>
      </c>
      <c r="AQ28">
        <f t="shared" si="11"/>
        <v>4.54251384710119E-2</v>
      </c>
    </row>
    <row r="29" spans="1:43" x14ac:dyDescent="0.3">
      <c r="A29">
        <v>10</v>
      </c>
      <c r="B29">
        <v>0.4</v>
      </c>
      <c r="C29">
        <v>9.9999999999999995E-8</v>
      </c>
      <c r="D29">
        <f t="shared" si="0"/>
        <v>0.99999990000000005</v>
      </c>
      <c r="E29">
        <f t="shared" si="24"/>
        <v>3.1622776601683795</v>
      </c>
      <c r="F29">
        <f t="shared" si="25"/>
        <v>9</v>
      </c>
      <c r="G29">
        <f t="shared" si="26"/>
        <v>4.4400651204431076</v>
      </c>
      <c r="H29">
        <f t="shared" si="27"/>
        <v>4.0400651204431073</v>
      </c>
      <c r="I29" s="2">
        <f>_xlfn.T.DIST.RT(E29*H29,F29)</f>
        <v>2.2539811170781628E-7</v>
      </c>
      <c r="J29">
        <f>1-I29</f>
        <v>0.99999977460188827</v>
      </c>
      <c r="L29">
        <f>I29/C29</f>
        <v>2.2539811170781627</v>
      </c>
      <c r="M29">
        <f t="shared" si="5"/>
        <v>0.35295027338572782</v>
      </c>
      <c r="O29">
        <f>J29/D29</f>
        <v>0.99999987460187567</v>
      </c>
      <c r="P29">
        <f t="shared" si="6"/>
        <v>-5.4459716851575229E-8</v>
      </c>
      <c r="R29" s="4">
        <f>_xlfn.T.DIST.RT(E29*(G29-0.2),F29)</f>
        <v>1.4882365281659089E-7</v>
      </c>
      <c r="S29">
        <f>R29*M29</f>
        <v>5.2527348947878397E-8</v>
      </c>
      <c r="T29">
        <f>(1-R29)*P29</f>
        <v>-5.4459708746681234E-8</v>
      </c>
      <c r="U29" s="2">
        <f>_xlfn.T.DIST.RT(E29*(G29-0.4),F29)</f>
        <v>2.2539811170781628E-7</v>
      </c>
      <c r="V29">
        <f>U29*M29</f>
        <v>7.9554325147900568E-8</v>
      </c>
      <c r="W29">
        <f>(1-U29)*P29</f>
        <v>-5.4459704576457885E-8</v>
      </c>
      <c r="X29" s="2">
        <f>_xlfn.T.DIST.RT(E29*(G29-0.8),F29)</f>
        <v>5.4833774604892825E-7</v>
      </c>
      <c r="Y29">
        <f>X29*M29</f>
        <v>1.9353595737568301E-7</v>
      </c>
      <c r="Z29">
        <f>(1-X29)*P29</f>
        <v>-5.4459686989256838E-8</v>
      </c>
      <c r="AB29">
        <f>C29*M29</f>
        <v>3.5295027338572778E-8</v>
      </c>
      <c r="AC29">
        <f>D29*P29</f>
        <v>-5.445971140560355E-8</v>
      </c>
      <c r="AD29">
        <f>(C29+0.01)*M29</f>
        <v>3.5295380288846165E-3</v>
      </c>
      <c r="AE29">
        <f>(D29-0.01)*P29</f>
        <v>-5.3915114237087791E-8</v>
      </c>
      <c r="AF29">
        <f>(C29+0.05)*M29</f>
        <v>1.7647548964313732E-2</v>
      </c>
      <c r="AG29">
        <f>(D29-0.05)*P29</f>
        <v>-5.1736725563024782E-8</v>
      </c>
      <c r="AH29">
        <f>(C29+0.1)*M29</f>
        <v>3.5295062633600126E-2</v>
      </c>
      <c r="AI29">
        <f>(D29-0.1)*P29</f>
        <v>-4.9013739720446028E-8</v>
      </c>
      <c r="AK29">
        <f>S29+T29</f>
        <v>-1.9323597988028373E-9</v>
      </c>
      <c r="AL29">
        <f>V29+W29</f>
        <v>2.5094620571442683E-8</v>
      </c>
      <c r="AM29">
        <f t="shared" si="7"/>
        <v>1.3907627038642617E-7</v>
      </c>
      <c r="AN29">
        <f t="shared" si="8"/>
        <v>-1.9164684067030771E-8</v>
      </c>
      <c r="AO29">
        <f t="shared" si="9"/>
        <v>3.5294841137703792E-3</v>
      </c>
      <c r="AP29">
        <f t="shared" si="10"/>
        <v>1.7647497227588169E-2</v>
      </c>
      <c r="AQ29">
        <f t="shared" si="11"/>
        <v>3.5295013619860406E-2</v>
      </c>
    </row>
    <row r="30" spans="1:43" x14ac:dyDescent="0.3">
      <c r="A30">
        <v>20</v>
      </c>
      <c r="B30">
        <v>0.4</v>
      </c>
      <c r="C30">
        <v>0.5</v>
      </c>
      <c r="D30">
        <f t="shared" ref="D30:D57" si="40">1-C30</f>
        <v>0.5</v>
      </c>
      <c r="E30">
        <f t="shared" si="24"/>
        <v>4.4721359549995796</v>
      </c>
      <c r="F30">
        <f t="shared" si="25"/>
        <v>19</v>
      </c>
      <c r="G30">
        <f t="shared" si="26"/>
        <v>0</v>
      </c>
      <c r="H30">
        <f t="shared" si="27"/>
        <v>-0.4</v>
      </c>
      <c r="I30" s="2">
        <f>_xlfn.T.DIST.RT(E30*H30,F30)</f>
        <v>0.95520273944023049</v>
      </c>
      <c r="J30">
        <f>1-I30</f>
        <v>4.4797260559769514E-2</v>
      </c>
      <c r="L30">
        <f>I30/C30</f>
        <v>1.910405478880461</v>
      </c>
      <c r="M30">
        <f t="shared" ref="M30:M57" si="41">LOG10(L30)</f>
        <v>0.28112555497070468</v>
      </c>
      <c r="O30">
        <f>J30/D30</f>
        <v>8.9594521119539028E-2</v>
      </c>
      <c r="P30">
        <f t="shared" ref="P30:P57" si="42">LOG10(O30)</f>
        <v>-1.0477185474841211</v>
      </c>
      <c r="R30" s="4">
        <f>_xlfn.T.DIST.RT(E30*(G30-0.2),F30)</f>
        <v>0.80885793231628456</v>
      </c>
      <c r="S30">
        <f>R30*M30</f>
        <v>0.22739063511487217</v>
      </c>
      <c r="T30">
        <f>(1-R30)*P30</f>
        <v>-0.20026308951669392</v>
      </c>
      <c r="U30" s="2">
        <f>_xlfn.T.DIST.RT(E30*(G30-0.4),F30)</f>
        <v>0.95520273944023049</v>
      </c>
      <c r="V30">
        <f>U30*M30</f>
        <v>0.26853190023467222</v>
      </c>
      <c r="W30">
        <f>(1-U30)*P30</f>
        <v>-4.6934920764949421E-2</v>
      </c>
      <c r="X30" s="2">
        <f>_xlfn.T.DIST.RT(E30*(G30-0.8),F30)</f>
        <v>0.99899614628692357</v>
      </c>
      <c r="Y30">
        <f>X30*M30</f>
        <v>0.28084334603850669</v>
      </c>
      <c r="Z30">
        <f>(1-X30)*P30</f>
        <v>-1.0517561541509791E-3</v>
      </c>
      <c r="AB30">
        <f>C30*M30</f>
        <v>0.14056277748535234</v>
      </c>
      <c r="AC30">
        <f>D30*P30</f>
        <v>-0.52385927374206054</v>
      </c>
      <c r="AD30">
        <f>(C30+0.01)*M30</f>
        <v>0.14337403303505938</v>
      </c>
      <c r="AE30">
        <f>(D30-0.01)*P30</f>
        <v>-0.51338208826721932</v>
      </c>
      <c r="AF30">
        <f>(C30+0.05)*M30</f>
        <v>0.15461905523388758</v>
      </c>
      <c r="AG30">
        <f>(D30-0.05)*P30</f>
        <v>-0.47147334636785448</v>
      </c>
      <c r="AH30">
        <f>(C30+0.1)*M30</f>
        <v>0.16867533298242279</v>
      </c>
      <c r="AI30">
        <f>(D30-0.1)*P30</f>
        <v>-0.41908741899364843</v>
      </c>
      <c r="AK30">
        <f>S30+T30</f>
        <v>2.712754559817826E-2</v>
      </c>
      <c r="AL30">
        <f>V30+W30</f>
        <v>0.22159697946972279</v>
      </c>
      <c r="AM30">
        <f t="shared" ref="AM30:AM57" si="43">Y30+Z30</f>
        <v>0.27979158988435571</v>
      </c>
      <c r="AN30">
        <f t="shared" ref="AN30:AN57" si="44">AB30+AC30</f>
        <v>-0.3832964962567082</v>
      </c>
      <c r="AO30">
        <f t="shared" ref="AO30:AO57" si="45">AD30+AE30</f>
        <v>-0.37000805523215996</v>
      </c>
      <c r="AP30">
        <f t="shared" ref="AP30:AP57" si="46">AF30+AG30</f>
        <v>-0.3168542911339669</v>
      </c>
      <c r="AQ30">
        <f t="shared" si="11"/>
        <v>-0.25041208601122567</v>
      </c>
    </row>
    <row r="31" spans="1:43" x14ac:dyDescent="0.3">
      <c r="A31">
        <v>20</v>
      </c>
      <c r="B31">
        <v>0.4</v>
      </c>
      <c r="C31">
        <v>0.2</v>
      </c>
      <c r="D31">
        <f t="shared" si="40"/>
        <v>0.8</v>
      </c>
      <c r="E31">
        <f t="shared" si="24"/>
        <v>4.4721359549995796</v>
      </c>
      <c r="F31">
        <f t="shared" si="25"/>
        <v>19</v>
      </c>
      <c r="G31">
        <f t="shared" si="26"/>
        <v>0.19251439556671754</v>
      </c>
      <c r="H31">
        <f t="shared" si="27"/>
        <v>-0.20748560443328248</v>
      </c>
      <c r="I31" s="2">
        <f>_xlfn.T.DIST.RT(E31*H31,F31)</f>
        <v>0.81745199801596491</v>
      </c>
      <c r="J31">
        <f>1-I31</f>
        <v>0.18254800198403509</v>
      </c>
      <c r="L31">
        <f>I31/C31</f>
        <v>4.0872599900798239</v>
      </c>
      <c r="M31">
        <f t="shared" si="41"/>
        <v>0.61143226400613071</v>
      </c>
      <c r="O31">
        <f>J31/D31</f>
        <v>0.22818500248004386</v>
      </c>
      <c r="P31">
        <f t="shared" si="42"/>
        <v>-0.64171290310010043</v>
      </c>
      <c r="R31" s="4">
        <f>_xlfn.T.DIST.RT(E31*(G31-0.2),F31)</f>
        <v>0.51317816032104047</v>
      </c>
      <c r="S31">
        <f>R31*M31</f>
        <v>0.31377368440359488</v>
      </c>
      <c r="T31">
        <f>(1-R31)*P31</f>
        <v>-0.31239985603291681</v>
      </c>
      <c r="U31" s="2">
        <f>_xlfn.T.DIST.RT(E31*(G31-0.4),F31)</f>
        <v>0.81745199801596491</v>
      </c>
      <c r="V31">
        <f>U31*M31</f>
        <v>0.49981652586323649</v>
      </c>
      <c r="W31">
        <f>(1-U31)*P31</f>
        <v>-0.11714340830829804</v>
      </c>
      <c r="X31" s="2">
        <f>_xlfn.T.DIST.RT(E31*(G31-0.8),F31)</f>
        <v>0.99315747240287444</v>
      </c>
      <c r="Y31">
        <f>X31*M31</f>
        <v>0.60724852186589584</v>
      </c>
      <c r="Z31">
        <f>(1-X31)*P31</f>
        <v>-4.3909382488939962E-3</v>
      </c>
      <c r="AB31">
        <f>C31*M31</f>
        <v>0.12228645280122614</v>
      </c>
      <c r="AC31">
        <f>D31*P31</f>
        <v>-0.51337032248008041</v>
      </c>
      <c r="AD31">
        <f>(C31+0.01)*M31</f>
        <v>0.12840077544128747</v>
      </c>
      <c r="AE31">
        <f>(D31-0.01)*P31</f>
        <v>-0.50695319344907941</v>
      </c>
      <c r="AF31">
        <f>(C31+0.05)*M31</f>
        <v>0.15285806600153268</v>
      </c>
      <c r="AG31">
        <f>(D31-0.05)*P31</f>
        <v>-0.48128467732507529</v>
      </c>
      <c r="AH31">
        <f>(C31+0.1)*M31</f>
        <v>0.18342967920183925</v>
      </c>
      <c r="AI31">
        <f>(D31-0.1)*P31</f>
        <v>-0.44919903217007034</v>
      </c>
      <c r="AK31">
        <f>S31+T31</f>
        <v>1.3738283706780652E-3</v>
      </c>
      <c r="AL31">
        <f>V31+W31</f>
        <v>0.38267311755493844</v>
      </c>
      <c r="AM31">
        <f t="shared" si="43"/>
        <v>0.60285758361700181</v>
      </c>
      <c r="AN31">
        <f t="shared" si="44"/>
        <v>-0.39108386967885428</v>
      </c>
      <c r="AO31">
        <f t="shared" si="45"/>
        <v>-0.37855241800779194</v>
      </c>
      <c r="AP31">
        <f t="shared" si="46"/>
        <v>-0.32842661132354262</v>
      </c>
      <c r="AQ31">
        <f t="shared" si="11"/>
        <v>-0.26576935296823112</v>
      </c>
    </row>
    <row r="32" spans="1:43" x14ac:dyDescent="0.3">
      <c r="A32">
        <v>20</v>
      </c>
      <c r="B32">
        <v>0.4</v>
      </c>
      <c r="C32">
        <v>0.1</v>
      </c>
      <c r="D32">
        <f t="shared" si="40"/>
        <v>0.9</v>
      </c>
      <c r="E32">
        <f t="shared" si="24"/>
        <v>4.4721359549995796</v>
      </c>
      <c r="F32">
        <f t="shared" si="25"/>
        <v>19</v>
      </c>
      <c r="G32">
        <f t="shared" si="26"/>
        <v>0.29688905310279701</v>
      </c>
      <c r="H32">
        <f t="shared" si="27"/>
        <v>-0.10311094689720302</v>
      </c>
      <c r="I32" s="2">
        <f>_xlfn.T.DIST.RT(E32*H32,F32)</f>
        <v>0.67502845495273522</v>
      </c>
      <c r="J32">
        <f>1-I32</f>
        <v>0.32497154504726478</v>
      </c>
      <c r="L32">
        <f>I32/C32</f>
        <v>6.7502845495273522</v>
      </c>
      <c r="M32">
        <f t="shared" si="41"/>
        <v>0.82932208033989585</v>
      </c>
      <c r="O32">
        <f>J32/D32</f>
        <v>0.36107949449696086</v>
      </c>
      <c r="P32">
        <f t="shared" si="42"/>
        <v>-0.44239717421421704</v>
      </c>
      <c r="R32" s="4">
        <f>_xlfn.T.DIST.RT(E32*(G32-0.2),F32)</f>
        <v>0.334837709693382</v>
      </c>
      <c r="S32">
        <f>R32*M32</f>
        <v>0.27768830597916166</v>
      </c>
      <c r="T32">
        <f>(1-R32)*P32</f>
        <v>-0.29426591762550447</v>
      </c>
      <c r="U32" s="2">
        <f>_xlfn.T.DIST.RT(E32*(G32-0.4),F32)</f>
        <v>0.67502845495273522</v>
      </c>
      <c r="V32">
        <f>U32*M32</f>
        <v>0.55981600255002806</v>
      </c>
      <c r="W32">
        <f>(1-U32)*P32</f>
        <v>-0.14376649322893809</v>
      </c>
      <c r="X32" s="2">
        <f>_xlfn.T.DIST.RT(E32*(G32-0.8),F32)</f>
        <v>0.9817526093400849</v>
      </c>
      <c r="Y32">
        <f>X32*M32</f>
        <v>0.81418911635704028</v>
      </c>
      <c r="Z32">
        <f>(1-X32)*P32</f>
        <v>-8.0725940647293354E-3</v>
      </c>
      <c r="AB32">
        <f>C32*M32</f>
        <v>8.2932208033989596E-2</v>
      </c>
      <c r="AC32">
        <f>D32*P32</f>
        <v>-0.39815745679279535</v>
      </c>
      <c r="AD32">
        <f>(C32+0.01)*M32</f>
        <v>9.1225428837388545E-2</v>
      </c>
      <c r="AE32">
        <f>(D32-0.01)*P32</f>
        <v>-0.39373348505065314</v>
      </c>
      <c r="AF32">
        <f>(C32+0.05)*M32</f>
        <v>0.12439831205098439</v>
      </c>
      <c r="AG32">
        <f>(D32-0.05)*P32</f>
        <v>-0.37603759808208448</v>
      </c>
      <c r="AH32">
        <f>(C32+0.1)*M32</f>
        <v>0.16586441606797919</v>
      </c>
      <c r="AI32">
        <f>(D32-0.1)*P32</f>
        <v>-0.35391773937137366</v>
      </c>
      <c r="AK32">
        <f>S32+T32</f>
        <v>-1.6577611646342805E-2</v>
      </c>
      <c r="AL32">
        <f>V32+W32</f>
        <v>0.41604950932108997</v>
      </c>
      <c r="AM32">
        <f t="shared" si="43"/>
        <v>0.8061165222923109</v>
      </c>
      <c r="AN32">
        <f t="shared" si="44"/>
        <v>-0.31522524875880575</v>
      </c>
      <c r="AO32">
        <f t="shared" si="45"/>
        <v>-0.3025080562132646</v>
      </c>
      <c r="AP32">
        <f t="shared" si="46"/>
        <v>-0.25163928603110008</v>
      </c>
      <c r="AQ32">
        <f t="shared" si="11"/>
        <v>-0.18805332330339447</v>
      </c>
    </row>
    <row r="33" spans="1:43" x14ac:dyDescent="0.3">
      <c r="A33">
        <v>20</v>
      </c>
      <c r="B33">
        <v>0.4</v>
      </c>
      <c r="C33">
        <v>9.904404E-2</v>
      </c>
      <c r="D33">
        <f t="shared" si="40"/>
        <v>0.90095596</v>
      </c>
      <c r="E33">
        <v>4.4721359549999997</v>
      </c>
      <c r="F33">
        <v>19</v>
      </c>
      <c r="G33">
        <v>0.29821247499999998</v>
      </c>
      <c r="H33">
        <v>-0.101787525</v>
      </c>
      <c r="I33" s="2">
        <v>0.67294063900000001</v>
      </c>
      <c r="J33">
        <f>1-I33</f>
        <v>0.32705936099999999</v>
      </c>
      <c r="L33">
        <f>I33/C33</f>
        <v>6.7943577321765147</v>
      </c>
      <c r="M33">
        <f t="shared" si="41"/>
        <v>0.8321484093312127</v>
      </c>
      <c r="O33">
        <f>J33/D33</f>
        <v>0.36301370490961621</v>
      </c>
      <c r="P33">
        <f t="shared" si="42"/>
        <v>-0.44007697867114048</v>
      </c>
      <c r="R33" s="4">
        <f>_xlfn.T.DIST.RT(E33*(G33-0.2),F33)</f>
        <v>0.33272847819433193</v>
      </c>
      <c r="S33">
        <f>R33*M33</f>
        <v>0.27687947386860839</v>
      </c>
      <c r="T33">
        <f>(1-R33)*P33</f>
        <v>-0.29365083526953245</v>
      </c>
      <c r="U33" s="2">
        <f>_xlfn.T.DIST.RT(E33*(G33-0.4),F33)</f>
        <v>0.67294063881241528</v>
      </c>
      <c r="V33">
        <f>U33*M33</f>
        <v>0.55998648216208147</v>
      </c>
      <c r="W33">
        <f>(1-U33)*P33</f>
        <v>-0.14393129551754555</v>
      </c>
      <c r="X33" s="2">
        <f>_xlfn.T.DIST.RT(E33*(G33-0.8),F33)</f>
        <v>0.98153182900123648</v>
      </c>
      <c r="Y33">
        <f>X33*M33</f>
        <v>0.81678015021133477</v>
      </c>
      <c r="Z33">
        <f>(1-X33)*P33</f>
        <v>-8.1274168947178295E-3</v>
      </c>
      <c r="AB33">
        <f>C33*M33</f>
        <v>8.241934033973701E-2</v>
      </c>
      <c r="AC33">
        <f>D33*P33</f>
        <v>-0.39648997679255688</v>
      </c>
      <c r="AD33">
        <f>(C33+0.01)*M33</f>
        <v>9.0740824433049122E-2</v>
      </c>
      <c r="AE33">
        <f>(D33-0.01)*P33</f>
        <v>-0.39208920700584549</v>
      </c>
      <c r="AF33">
        <f>(C33+0.05)*M33</f>
        <v>0.12402676080629763</v>
      </c>
      <c r="AG33">
        <f>(D33-0.05)*P33</f>
        <v>-0.37448612785899987</v>
      </c>
      <c r="AH33">
        <f>(C33+0.1)*M33</f>
        <v>0.16563418127285828</v>
      </c>
      <c r="AI33">
        <f>(D33-0.1)*P33</f>
        <v>-0.35248227892544287</v>
      </c>
      <c r="AK33">
        <f>S33+T33</f>
        <v>-1.6771361400924056E-2</v>
      </c>
      <c r="AL33">
        <f>V33+W33</f>
        <v>0.41605518664453589</v>
      </c>
      <c r="AM33">
        <f t="shared" si="43"/>
        <v>0.80865273331661691</v>
      </c>
      <c r="AN33">
        <f t="shared" si="44"/>
        <v>-0.31407063645281985</v>
      </c>
      <c r="AO33">
        <f t="shared" si="45"/>
        <v>-0.30134838257279639</v>
      </c>
      <c r="AP33">
        <f t="shared" si="46"/>
        <v>-0.25045936705270222</v>
      </c>
      <c r="AQ33">
        <f t="shared" si="11"/>
        <v>-0.18684809765258459</v>
      </c>
    </row>
    <row r="34" spans="1:43" x14ac:dyDescent="0.3">
      <c r="A34">
        <v>20</v>
      </c>
      <c r="B34">
        <v>0.4</v>
      </c>
      <c r="C34">
        <v>0.05</v>
      </c>
      <c r="D34">
        <f t="shared" si="40"/>
        <v>0.95</v>
      </c>
      <c r="E34">
        <f t="shared" ref="E34:E47" si="47">SQRT(A34)</f>
        <v>4.4721359549995796</v>
      </c>
      <c r="F34">
        <f t="shared" ref="F34:F47" si="48">A34-1</f>
        <v>19</v>
      </c>
      <c r="G34">
        <f t="shared" ref="G34:G47" si="49">-_xlfn.T.INV(C34,F34)/E34</f>
        <v>0.38664585086871139</v>
      </c>
      <c r="H34">
        <f t="shared" ref="H34:H47" si="50">G34-B34</f>
        <v>-1.3354149131288628E-2</v>
      </c>
      <c r="I34" s="2">
        <f>_xlfn.T.DIST.RT(E34*H34,F34)</f>
        <v>0.52349945800805131</v>
      </c>
      <c r="J34">
        <f>1-I34</f>
        <v>0.47650054199194869</v>
      </c>
      <c r="L34">
        <f>I34/C34</f>
        <v>10.469989160161026</v>
      </c>
      <c r="M34">
        <f t="shared" si="41"/>
        <v>1.0199462320432464</v>
      </c>
      <c r="O34">
        <f>J34/D34</f>
        <v>0.50157951788626176</v>
      </c>
      <c r="P34">
        <f t="shared" si="42"/>
        <v>-0.29966020632923773</v>
      </c>
      <c r="R34" s="4">
        <f>_xlfn.T.DIST.RT(E34*(G34-0.2),F34)</f>
        <v>0.20712803212771269</v>
      </c>
      <c r="S34">
        <f>R34*M34</f>
        <v>0.21125945591919304</v>
      </c>
      <c r="T34">
        <f>(1-R34)*P34</f>
        <v>-0.23759217748527836</v>
      </c>
      <c r="U34" s="2">
        <f>_xlfn.T.DIST.RT(E34*(G34-0.4),F34)</f>
        <v>0.52349945800805131</v>
      </c>
      <c r="V34">
        <f>U34*M34</f>
        <v>0.53394129967199366</v>
      </c>
      <c r="W34">
        <f>(1-U34)*P34</f>
        <v>-0.14278825072930096</v>
      </c>
      <c r="X34" s="2">
        <f>_xlfn.T.DIST.RT(E34*(G34-0.8),F34)</f>
        <v>0.95992819402088403</v>
      </c>
      <c r="Y34">
        <f>X34*M34</f>
        <v>0.97907514452367905</v>
      </c>
      <c r="Z34">
        <f>(1-X34)*P34</f>
        <v>-1.2007925647687073E-2</v>
      </c>
      <c r="AB34">
        <f>C34*M34</f>
        <v>5.0997311602162324E-2</v>
      </c>
      <c r="AC34">
        <f>D34*P34</f>
        <v>-0.28467719601277586</v>
      </c>
      <c r="AD34">
        <f>(C34+0.01)*M34</f>
        <v>6.1196773922594788E-2</v>
      </c>
      <c r="AE34">
        <f>(D34-0.01)*P34</f>
        <v>-0.28168059394948347</v>
      </c>
      <c r="AF34">
        <f>(C34+0.05)*M34</f>
        <v>0.10199462320432465</v>
      </c>
      <c r="AG34">
        <f>(D34-0.05)*P34</f>
        <v>-0.26969418569631393</v>
      </c>
      <c r="AH34">
        <f>(C34+0.1)*M34</f>
        <v>0.15299193480648698</v>
      </c>
      <c r="AI34">
        <f>(D34-0.1)*P34</f>
        <v>-0.25471117537985205</v>
      </c>
      <c r="AK34">
        <f>S34+T34</f>
        <v>-2.6332721566085321E-2</v>
      </c>
      <c r="AL34">
        <f>V34+W34</f>
        <v>0.3911530489426927</v>
      </c>
      <c r="AM34">
        <f t="shared" si="43"/>
        <v>0.96706721887599201</v>
      </c>
      <c r="AN34">
        <f t="shared" si="44"/>
        <v>-0.23367988441061355</v>
      </c>
      <c r="AO34">
        <f t="shared" si="45"/>
        <v>-0.22048382002688868</v>
      </c>
      <c r="AP34">
        <f t="shared" si="46"/>
        <v>-0.16769956249198928</v>
      </c>
      <c r="AQ34">
        <f t="shared" si="11"/>
        <v>-0.10171924057336507</v>
      </c>
    </row>
    <row r="35" spans="1:43" x14ac:dyDescent="0.3">
      <c r="A35">
        <v>20</v>
      </c>
      <c r="B35">
        <v>0.4</v>
      </c>
      <c r="C35">
        <v>0.02</v>
      </c>
      <c r="D35">
        <f t="shared" si="40"/>
        <v>0.98</v>
      </c>
      <c r="E35">
        <f t="shared" si="47"/>
        <v>4.4721359549995796</v>
      </c>
      <c r="F35">
        <f t="shared" si="48"/>
        <v>19</v>
      </c>
      <c r="G35">
        <f t="shared" si="49"/>
        <v>0.49298620903438412</v>
      </c>
      <c r="H35">
        <f t="shared" si="50"/>
        <v>9.2986209034384093E-2</v>
      </c>
      <c r="I35" s="2">
        <f>_xlfn.T.DIST.RT(E35*H35,F35)</f>
        <v>0.34109059331311098</v>
      </c>
      <c r="J35">
        <f>1-I35</f>
        <v>0.65890940668688902</v>
      </c>
      <c r="L35">
        <f>I35/C35</f>
        <v>17.054529665655547</v>
      </c>
      <c r="M35">
        <f t="shared" si="41"/>
        <v>1.2318397468201068</v>
      </c>
      <c r="O35">
        <f>J35/D35</f>
        <v>0.67235653743560109</v>
      </c>
      <c r="P35">
        <f t="shared" si="42"/>
        <v>-0.17240036804927197</v>
      </c>
      <c r="R35" s="4">
        <f>_xlfn.T.DIST.RT(E35*(G35-0.2),F35)</f>
        <v>0.10286152054408156</v>
      </c>
      <c r="S35">
        <f>R35*M35</f>
        <v>0.12670890942455262</v>
      </c>
      <c r="T35">
        <f>(1-R35)*P35</f>
        <v>-0.15466700404936456</v>
      </c>
      <c r="U35" s="2">
        <f>_xlfn.T.DIST.RT(E35*(G35-0.4),F35)</f>
        <v>0.34109059331311098</v>
      </c>
      <c r="V35">
        <f>U35*M35</f>
        <v>0.42016895010954264</v>
      </c>
      <c r="W35">
        <f>(1-U35)*P35</f>
        <v>-0.11359622422394709</v>
      </c>
      <c r="X35" s="2">
        <f>_xlfn.T.DIST.RT(E35*(G35-0.8),F35)</f>
        <v>0.90713066835995304</v>
      </c>
      <c r="Y35">
        <f>X35*M35</f>
        <v>1.1174396128452788</v>
      </c>
      <c r="Z35">
        <f>(1-X35)*P35</f>
        <v>-1.6010706955233996E-2</v>
      </c>
      <c r="AB35">
        <f>C35*M35</f>
        <v>2.4636794936402136E-2</v>
      </c>
      <c r="AC35">
        <f>D35*P35</f>
        <v>-0.16895236068828653</v>
      </c>
      <c r="AD35">
        <f>(C35+0.01)*M35</f>
        <v>3.6955192404603203E-2</v>
      </c>
      <c r="AE35">
        <f>(D35-0.01)*P35</f>
        <v>-0.16722835700779382</v>
      </c>
      <c r="AF35">
        <f>(C35+0.05)*M35</f>
        <v>8.6228782277407476E-2</v>
      </c>
      <c r="AG35">
        <f>(D35-0.05)*P35</f>
        <v>-0.16033234228582294</v>
      </c>
      <c r="AH35">
        <f>(C35+0.1)*M35</f>
        <v>0.14782076961841281</v>
      </c>
      <c r="AI35">
        <f>(D35-0.1)*P35</f>
        <v>-0.15171232388335934</v>
      </c>
      <c r="AK35">
        <f>S35+T35</f>
        <v>-2.7958094624811941E-2</v>
      </c>
      <c r="AL35">
        <f>V35+W35</f>
        <v>0.30657272588559553</v>
      </c>
      <c r="AM35">
        <f t="shared" si="43"/>
        <v>1.1014289058900448</v>
      </c>
      <c r="AN35">
        <f t="shared" si="44"/>
        <v>-0.14431556575188439</v>
      </c>
      <c r="AO35">
        <f t="shared" si="45"/>
        <v>-0.13027316460319061</v>
      </c>
      <c r="AP35">
        <f t="shared" si="46"/>
        <v>-7.4103560008415462E-2</v>
      </c>
      <c r="AQ35">
        <f t="shared" si="11"/>
        <v>-3.8915542649465285E-3</v>
      </c>
    </row>
    <row r="36" spans="1:43" x14ac:dyDescent="0.3">
      <c r="A36">
        <v>20</v>
      </c>
      <c r="B36">
        <v>0.4</v>
      </c>
      <c r="C36">
        <v>0.01</v>
      </c>
      <c r="D36">
        <f t="shared" si="40"/>
        <v>0.99</v>
      </c>
      <c r="E36">
        <f t="shared" si="47"/>
        <v>4.4721359549995796</v>
      </c>
      <c r="F36">
        <f t="shared" si="48"/>
        <v>19</v>
      </c>
      <c r="G36">
        <f t="shared" si="49"/>
        <v>0.56784570419532332</v>
      </c>
      <c r="H36">
        <f t="shared" si="50"/>
        <v>0.1678457041953233</v>
      </c>
      <c r="I36" s="2">
        <f>_xlfn.T.DIST.RT(E36*H36,F36)</f>
        <v>0.23103587478927806</v>
      </c>
      <c r="J36">
        <f>1-I36</f>
        <v>0.76896412521072199</v>
      </c>
      <c r="L36">
        <f>I36/C36</f>
        <v>23.103587478927807</v>
      </c>
      <c r="M36">
        <f t="shared" si="41"/>
        <v>1.3636794215082799</v>
      </c>
      <c r="O36">
        <f>J36/D36</f>
        <v>0.77673143960678992</v>
      </c>
      <c r="P36">
        <f t="shared" si="42"/>
        <v>-0.10972911563675918</v>
      </c>
      <c r="R36" s="4">
        <f>_xlfn.T.DIST.RT(E36*(G36-0.2),F36)</f>
        <v>5.8200730357768474E-2</v>
      </c>
      <c r="S36">
        <f>R36*M36</f>
        <v>7.93671383056411E-2</v>
      </c>
      <c r="T36">
        <f>(1-R36)*P36</f>
        <v>-0.10334280096518775</v>
      </c>
      <c r="U36" s="2">
        <f>_xlfn.T.DIST.RT(E36*(G36-0.4),F36)</f>
        <v>0.23103587478927806</v>
      </c>
      <c r="V36">
        <f>U36*M36</f>
        <v>0.31505886808030209</v>
      </c>
      <c r="W36">
        <f>(1-U36)*P36</f>
        <v>-8.4377753415766671E-2</v>
      </c>
      <c r="X36" s="2">
        <f>_xlfn.T.DIST.RT(E36*(G36-0.8),F36)</f>
        <v>0.84390094746076549</v>
      </c>
      <c r="Y36">
        <f>X36*M36</f>
        <v>1.150810355843586</v>
      </c>
      <c r="Z36">
        <f>(1-X36)*P36</f>
        <v>-1.7128610986866209E-2</v>
      </c>
      <c r="AB36">
        <f>C36*M36</f>
        <v>1.3636794215082799E-2</v>
      </c>
      <c r="AC36">
        <f>D36*P36</f>
        <v>-0.10863182448039158</v>
      </c>
      <c r="AD36">
        <f>(C36+0.01)*M36</f>
        <v>2.7273588430165599E-2</v>
      </c>
      <c r="AE36">
        <f>(D36-0.01)*P36</f>
        <v>-0.10753453332402399</v>
      </c>
      <c r="AF36">
        <f>(C36+0.05)*M36</f>
        <v>8.1820765290496797E-2</v>
      </c>
      <c r="AG36">
        <f>(D36-0.05)*P36</f>
        <v>-0.10314536869855362</v>
      </c>
      <c r="AH36">
        <f>(C36+0.1)*M36</f>
        <v>0.1500047363659108</v>
      </c>
      <c r="AI36">
        <f>(D36-0.1)*P36</f>
        <v>-9.7658912916715662E-2</v>
      </c>
      <c r="AK36">
        <f>S36+T36</f>
        <v>-2.3975662659546648E-2</v>
      </c>
      <c r="AL36">
        <f>V36+W36</f>
        <v>0.23068111466453542</v>
      </c>
      <c r="AM36">
        <f t="shared" si="43"/>
        <v>1.1336817448567198</v>
      </c>
      <c r="AN36">
        <f t="shared" si="44"/>
        <v>-9.4995030265308783E-2</v>
      </c>
      <c r="AO36">
        <f t="shared" si="45"/>
        <v>-8.0260944893858391E-2</v>
      </c>
      <c r="AP36">
        <f t="shared" si="46"/>
        <v>-2.1324603408056822E-2</v>
      </c>
      <c r="AQ36">
        <f t="shared" si="11"/>
        <v>5.2345823449195139E-2</v>
      </c>
    </row>
    <row r="37" spans="1:43" x14ac:dyDescent="0.3">
      <c r="A37">
        <v>20</v>
      </c>
      <c r="B37">
        <v>0.4</v>
      </c>
      <c r="C37">
        <v>5.0000000000000001E-3</v>
      </c>
      <c r="D37">
        <f t="shared" ref="D37" si="51">1-C37</f>
        <v>0.995</v>
      </c>
      <c r="E37">
        <f t="shared" ref="E37" si="52">SQRT(A37)</f>
        <v>4.4721359549995796</v>
      </c>
      <c r="F37">
        <f t="shared" ref="F37" si="53">A37-1</f>
        <v>19</v>
      </c>
      <c r="G37">
        <f t="shared" ref="G37" si="54">-_xlfn.T.INV(C37,F37)/E37</f>
        <v>0.63972442592373036</v>
      </c>
      <c r="H37">
        <f t="shared" ref="H37" si="55">G37-B37</f>
        <v>0.23972442592373033</v>
      </c>
      <c r="I37" s="2">
        <f>_xlfn.T.DIST.RT(E37*H37,F37)</f>
        <v>0.14855658350200587</v>
      </c>
      <c r="J37">
        <f>1-I37</f>
        <v>0.85144341649799415</v>
      </c>
      <c r="L37">
        <f>I37/C37</f>
        <v>29.711316700401174</v>
      </c>
      <c r="M37">
        <f t="shared" ref="M37" si="56">LOG10(L37)</f>
        <v>1.4729218986245154</v>
      </c>
      <c r="O37">
        <f>J37/D37</f>
        <v>0.85572202663114993</v>
      </c>
      <c r="P37">
        <f t="shared" ref="P37" si="57">LOG10(O37)</f>
        <v>-6.7667288951170357E-2</v>
      </c>
      <c r="R37" s="4">
        <f>_xlfn.T.DIST.RT(E37*(G37-0.2),F37)</f>
        <v>3.2010422961456411E-2</v>
      </c>
      <c r="S37">
        <f>R37*M37</f>
        <v>4.7148852964162158E-2</v>
      </c>
      <c r="T37">
        <f>(1-R37)*P37</f>
        <v>-6.5501230411188313E-2</v>
      </c>
      <c r="U37" s="2">
        <f>_xlfn.T.DIST.RT(E37*(G37-0.4),F37)</f>
        <v>0.14855658350200587</v>
      </c>
      <c r="V37">
        <f>U37*M37</f>
        <v>0.21881224502494584</v>
      </c>
      <c r="W37">
        <f>(1-U37)*P37</f>
        <v>-5.7614867689741459E-2</v>
      </c>
      <c r="X37" s="2">
        <f>_xlfn.T.DIST.RT(E37*(G37-0.8),F37)</f>
        <v>0.75888384566462863</v>
      </c>
      <c r="Y37">
        <f>X37*M37</f>
        <v>1.1177766347918185</v>
      </c>
      <c r="Z37">
        <f>(1-X37)*P37</f>
        <v>-1.6315676486206562E-2</v>
      </c>
      <c r="AB37">
        <f>C37*M37</f>
        <v>7.3646094931225769E-3</v>
      </c>
      <c r="AC37">
        <f>D37*P37</f>
        <v>-6.7328952506414505E-2</v>
      </c>
      <c r="AD37">
        <f>(C37+0.01)*M37</f>
        <v>2.2093828479367729E-2</v>
      </c>
      <c r="AE37">
        <f>(D37-0.01)*P37</f>
        <v>-6.6652279616902801E-2</v>
      </c>
      <c r="AF37">
        <f>(C37+0.05)*M37</f>
        <v>8.1010704424348351E-2</v>
      </c>
      <c r="AG37">
        <f>(D37-0.05)*P37</f>
        <v>-6.3945588058855987E-2</v>
      </c>
      <c r="AH37">
        <f>(C37+0.1)*M37</f>
        <v>0.15465679935557414</v>
      </c>
      <c r="AI37">
        <f>(D37-0.1)*P37</f>
        <v>-6.0562223611297469E-2</v>
      </c>
      <c r="AK37">
        <f>S37+T37</f>
        <v>-1.8352377447026155E-2</v>
      </c>
      <c r="AL37">
        <f>V37+W37</f>
        <v>0.16119737733520439</v>
      </c>
      <c r="AM37">
        <f t="shared" ref="AM37" si="58">Y37+Z37</f>
        <v>1.1014609583056121</v>
      </c>
      <c r="AN37">
        <f t="shared" ref="AN37" si="59">AB37+AC37</f>
        <v>-5.9964343013291926E-2</v>
      </c>
      <c r="AO37">
        <f t="shared" ref="AO37" si="60">AD37+AE37</f>
        <v>-4.4558451137535073E-2</v>
      </c>
      <c r="AP37">
        <f t="shared" ref="AP37" si="61">AF37+AG37</f>
        <v>1.7065116365492364E-2</v>
      </c>
      <c r="AQ37">
        <f t="shared" ref="AQ37" si="62">AH37+AI37</f>
        <v>9.4094575744276668E-2</v>
      </c>
    </row>
    <row r="38" spans="1:43" x14ac:dyDescent="0.3">
      <c r="A38">
        <v>20</v>
      </c>
      <c r="B38">
        <v>0.4</v>
      </c>
      <c r="C38">
        <v>2E-3</v>
      </c>
      <c r="D38">
        <f t="shared" si="40"/>
        <v>0.998</v>
      </c>
      <c r="E38">
        <f t="shared" si="47"/>
        <v>4.4721359549995796</v>
      </c>
      <c r="F38">
        <f t="shared" si="48"/>
        <v>19</v>
      </c>
      <c r="G38">
        <f t="shared" si="49"/>
        <v>0.73189803301944156</v>
      </c>
      <c r="H38">
        <f t="shared" si="50"/>
        <v>0.33189803301944154</v>
      </c>
      <c r="I38" s="2">
        <f>_xlfn.T.DIST.RT(E38*H38,F38)</f>
        <v>7.7066216578132757E-2</v>
      </c>
      <c r="J38">
        <f>1-I38</f>
        <v>0.92293378342186727</v>
      </c>
      <c r="L38">
        <f>I38/C38</f>
        <v>38.533108289066377</v>
      </c>
      <c r="M38">
        <f t="shared" si="41"/>
        <v>1.5858340429694657</v>
      </c>
      <c r="O38">
        <f>J38/D38</f>
        <v>0.92478335012211155</v>
      </c>
      <c r="P38">
        <f t="shared" si="42"/>
        <v>-3.3959997927854389E-2</v>
      </c>
      <c r="R38" s="4">
        <f>_xlfn.T.DIST.RT(E38*(G38-0.2),F38)</f>
        <v>1.4008104340499174E-2</v>
      </c>
      <c r="S38">
        <f>R38*M38</f>
        <v>2.2214528740631928E-2</v>
      </c>
      <c r="T38">
        <f>(1-R38)*P38</f>
        <v>-3.3484282733477873E-2</v>
      </c>
      <c r="U38" s="2">
        <f>_xlfn.T.DIST.RT(E38*(G38-0.4),F38)</f>
        <v>7.7066216578132757E-2</v>
      </c>
      <c r="V38">
        <f>U38*M38</f>
        <v>0.12221422981246073</v>
      </c>
      <c r="W38">
        <f>(1-U38)*P38</f>
        <v>-3.1342829372553421E-2</v>
      </c>
      <c r="X38" s="2">
        <f>_xlfn.T.DIST.RT(E38*(G38-0.8),F38)</f>
        <v>0.6179944443490677</v>
      </c>
      <c r="Y38">
        <f>X38*M38</f>
        <v>0.98003662821475057</v>
      </c>
      <c r="Z38">
        <f>(1-X38)*P38</f>
        <v>-1.2972907878334525E-2</v>
      </c>
      <c r="AB38">
        <f>C38*M38</f>
        <v>3.1716680859389316E-3</v>
      </c>
      <c r="AC38">
        <f>D38*P38</f>
        <v>-3.3892077931998679E-2</v>
      </c>
      <c r="AD38">
        <f>(C38+0.01)*M38</f>
        <v>1.9030008515633589E-2</v>
      </c>
      <c r="AE38">
        <f>(D38-0.01)*P38</f>
        <v>-3.3552477952720136E-2</v>
      </c>
      <c r="AF38">
        <f>(C38+0.05)*M38</f>
        <v>8.246337023441222E-2</v>
      </c>
      <c r="AG38">
        <f>(D38-0.05)*P38</f>
        <v>-3.2194078035605957E-2</v>
      </c>
      <c r="AH38">
        <f>(C38+0.1)*M38</f>
        <v>0.16175507238288553</v>
      </c>
      <c r="AI38">
        <f>(D38-0.1)*P38</f>
        <v>-3.0496078139213241E-2</v>
      </c>
      <c r="AK38">
        <f>S38+T38</f>
        <v>-1.1269753992845945E-2</v>
      </c>
      <c r="AL38">
        <f>V38+W38</f>
        <v>9.087140043990731E-2</v>
      </c>
      <c r="AM38">
        <f t="shared" si="43"/>
        <v>0.96706372033641608</v>
      </c>
      <c r="AN38">
        <f t="shared" si="44"/>
        <v>-3.0720409846059747E-2</v>
      </c>
      <c r="AO38">
        <f t="shared" si="45"/>
        <v>-1.4522469437086547E-2</v>
      </c>
      <c r="AP38">
        <f t="shared" si="46"/>
        <v>5.0269292198806263E-2</v>
      </c>
      <c r="AQ38">
        <f t="shared" si="11"/>
        <v>0.13125899424367229</v>
      </c>
    </row>
    <row r="39" spans="1:43" x14ac:dyDescent="0.3">
      <c r="A39">
        <v>20</v>
      </c>
      <c r="B39">
        <v>0.4</v>
      </c>
      <c r="C39">
        <v>1E-3</v>
      </c>
      <c r="D39">
        <f t="shared" si="40"/>
        <v>0.999</v>
      </c>
      <c r="E39">
        <f t="shared" si="47"/>
        <v>4.4721359549995796</v>
      </c>
      <c r="F39">
        <f t="shared" si="48"/>
        <v>19</v>
      </c>
      <c r="G39">
        <f t="shared" si="49"/>
        <v>0.80037820517356184</v>
      </c>
      <c r="H39">
        <f t="shared" si="50"/>
        <v>0.40037820517356182</v>
      </c>
      <c r="I39" s="2">
        <f>_xlfn.T.DIST.RT(E39*H39,F39)</f>
        <v>4.4657025977976016E-2</v>
      </c>
      <c r="J39">
        <f>1-I39</f>
        <v>0.95534297402202395</v>
      </c>
      <c r="L39">
        <f>I39/C39</f>
        <v>44.657025977976012</v>
      </c>
      <c r="M39">
        <f t="shared" si="41"/>
        <v>1.6498897970076654</v>
      </c>
      <c r="O39">
        <f>J39/D39</f>
        <v>0.95629927329531927</v>
      </c>
      <c r="P39">
        <f t="shared" si="42"/>
        <v>-1.9406174249872829E-2</v>
      </c>
      <c r="R39" s="4">
        <f>_xlfn.T.DIST.RT(E39*(G39-0.2),F39)</f>
        <v>7.3282106104666268E-3</v>
      </c>
      <c r="S39">
        <f>R39*M39</f>
        <v>1.2090739916532202E-2</v>
      </c>
      <c r="T39">
        <f>(1-R39)*P39</f>
        <v>-1.9263961717826347E-2</v>
      </c>
      <c r="U39" s="2">
        <f>_xlfn.T.DIST.RT(E39*(G39-0.4),F39)</f>
        <v>4.4657025977976016E-2</v>
      </c>
      <c r="V39">
        <f>U39*M39</f>
        <v>7.3679171525768888E-2</v>
      </c>
      <c r="W39">
        <f>(1-U39)*P39</f>
        <v>-1.8539552222263129E-2</v>
      </c>
      <c r="X39" s="2">
        <f>_xlfn.T.DIST.RT(E39*(G39-0.8),F39)</f>
        <v>0.49933405166182354</v>
      </c>
      <c r="Y39">
        <f>X39*M39</f>
        <v>0.82384615713534115</v>
      </c>
      <c r="Z39">
        <f>(1-X39)*P39</f>
        <v>-9.7160106344284809E-3</v>
      </c>
      <c r="AB39">
        <f>C39*M39</f>
        <v>1.6498897970076655E-3</v>
      </c>
      <c r="AC39">
        <f>D39*P39</f>
        <v>-1.9386768075622954E-2</v>
      </c>
      <c r="AD39">
        <f>(C39+0.01)*M39</f>
        <v>1.8148787767084319E-2</v>
      </c>
      <c r="AE39">
        <f>(D39-0.01)*P39</f>
        <v>-1.9192706333124226E-2</v>
      </c>
      <c r="AF39">
        <f>(C39+0.05)*M39</f>
        <v>8.4144379647390938E-2</v>
      </c>
      <c r="AG39">
        <f>(D39-0.05)*P39</f>
        <v>-1.8416459363129314E-2</v>
      </c>
      <c r="AH39">
        <f>(C39+0.1)*M39</f>
        <v>0.16663886949777421</v>
      </c>
      <c r="AI39">
        <f>(D39-0.1)*P39</f>
        <v>-1.7446150650635674E-2</v>
      </c>
      <c r="AK39">
        <f>S39+T39</f>
        <v>-7.1732218012941443E-3</v>
      </c>
      <c r="AL39">
        <f>V39+W39</f>
        <v>5.5139619303505763E-2</v>
      </c>
      <c r="AM39">
        <f t="shared" si="43"/>
        <v>0.81413014650091264</v>
      </c>
      <c r="AN39">
        <f t="shared" si="44"/>
        <v>-1.7736878278615288E-2</v>
      </c>
      <c r="AO39">
        <f t="shared" si="45"/>
        <v>-1.0439185660399072E-3</v>
      </c>
      <c r="AP39">
        <f t="shared" si="46"/>
        <v>6.5727920284261623E-2</v>
      </c>
      <c r="AQ39">
        <f t="shared" si="11"/>
        <v>0.14919271884713853</v>
      </c>
    </row>
    <row r="40" spans="1:43" x14ac:dyDescent="0.3">
      <c r="A40">
        <v>20</v>
      </c>
      <c r="B40">
        <v>0.4</v>
      </c>
      <c r="C40">
        <v>1E-4</v>
      </c>
      <c r="D40">
        <f t="shared" si="40"/>
        <v>0.99990000000000001</v>
      </c>
      <c r="E40">
        <f t="shared" si="47"/>
        <v>4.4721359549995796</v>
      </c>
      <c r="F40">
        <f t="shared" si="48"/>
        <v>19</v>
      </c>
      <c r="G40">
        <f t="shared" si="49"/>
        <v>1.0263249245863912</v>
      </c>
      <c r="H40">
        <f t="shared" si="50"/>
        <v>0.62632492458639122</v>
      </c>
      <c r="I40" s="2">
        <f>_xlfn.T.DIST.RT(E40*H40,F40)</f>
        <v>5.6992777865979135E-3</v>
      </c>
      <c r="J40">
        <f>1-I40</f>
        <v>0.99430072221340204</v>
      </c>
      <c r="L40">
        <f>I40/C40</f>
        <v>56.992777865979136</v>
      </c>
      <c r="M40">
        <f t="shared" si="41"/>
        <v>1.755819825292221</v>
      </c>
      <c r="O40">
        <f>J40/D40</f>
        <v>0.99440016222962502</v>
      </c>
      <c r="P40">
        <f t="shared" si="42"/>
        <v>-2.4388135142141454E-3</v>
      </c>
      <c r="R40" s="4">
        <f>_xlfn.T.DIST.RT(E40*(G40-0.2),F40)</f>
        <v>7.6781604023424958E-4</v>
      </c>
      <c r="S40">
        <f>R40*M40</f>
        <v>1.348146625620665E-3</v>
      </c>
      <c r="T40">
        <f>(1-R40)*P40</f>
        <v>-2.436940954078792E-3</v>
      </c>
      <c r="U40" s="2">
        <f>_xlfn.T.DIST.RT(E40*(G40-0.4),F40)</f>
        <v>5.6992777865979135E-3</v>
      </c>
      <c r="V40">
        <f>U40*M40</f>
        <v>1.0006904927556185E-2</v>
      </c>
      <c r="W40">
        <f>(1-U40)*P40</f>
        <v>-2.4249140385269297E-3</v>
      </c>
      <c r="X40" s="2">
        <f>_xlfn.T.DIST.RT(E40*(G40-0.8),F40)</f>
        <v>0.16209018693693844</v>
      </c>
      <c r="Y40">
        <f>X40*M40</f>
        <v>0.28460116370919869</v>
      </c>
      <c r="Z40">
        <f>(1-X40)*P40</f>
        <v>-2.0435057757908427E-3</v>
      </c>
      <c r="AB40">
        <f>C40*M40</f>
        <v>1.7558198252922211E-4</v>
      </c>
      <c r="AC40">
        <f>D40*P40</f>
        <v>-2.4385696328627238E-3</v>
      </c>
      <c r="AD40">
        <f>(C40+0.01)*M40</f>
        <v>1.773378023545143E-2</v>
      </c>
      <c r="AE40">
        <f>(D40-0.01)*P40</f>
        <v>-2.4141814977205827E-3</v>
      </c>
      <c r="AF40">
        <f>(C40+0.05)*M40</f>
        <v>8.7966573247140287E-2</v>
      </c>
      <c r="AG40">
        <f>(D40-0.05)*P40</f>
        <v>-2.3166289571520168E-3</v>
      </c>
      <c r="AH40">
        <f>(C40+0.1)*M40</f>
        <v>0.17575756451175134</v>
      </c>
      <c r="AI40">
        <f>(D40-0.1)*P40</f>
        <v>-2.1946882814413097E-3</v>
      </c>
      <c r="AK40">
        <f>S40+T40</f>
        <v>-1.0887943284581269E-3</v>
      </c>
      <c r="AL40">
        <f>V40+W40</f>
        <v>7.581990889029255E-3</v>
      </c>
      <c r="AM40">
        <f t="shared" si="43"/>
        <v>0.28255765793340787</v>
      </c>
      <c r="AN40">
        <f t="shared" si="44"/>
        <v>-2.2629876503335016E-3</v>
      </c>
      <c r="AO40">
        <f t="shared" si="45"/>
        <v>1.5319598737730847E-2</v>
      </c>
      <c r="AP40">
        <f t="shared" si="46"/>
        <v>8.5649944289988275E-2</v>
      </c>
      <c r="AQ40">
        <f t="shared" si="11"/>
        <v>0.17356287623031003</v>
      </c>
    </row>
    <row r="41" spans="1:43" x14ac:dyDescent="0.3">
      <c r="A41">
        <v>20</v>
      </c>
      <c r="B41">
        <v>0.4</v>
      </c>
      <c r="C41">
        <v>1.0000000000000001E-5</v>
      </c>
      <c r="D41">
        <f t="shared" si="40"/>
        <v>0.99999000000000005</v>
      </c>
      <c r="E41">
        <f t="shared" si="47"/>
        <v>4.4721359549995796</v>
      </c>
      <c r="F41">
        <f t="shared" si="48"/>
        <v>19</v>
      </c>
      <c r="G41">
        <f t="shared" si="49"/>
        <v>1.2581831789871367</v>
      </c>
      <c r="H41">
        <f t="shared" si="50"/>
        <v>0.8581831789871367</v>
      </c>
      <c r="I41" s="2">
        <f>_xlfn.T.DIST.RT(E41*H41,F41)</f>
        <v>5.5473720712405947E-4</v>
      </c>
      <c r="J41">
        <f>1-I41</f>
        <v>0.99944526279287593</v>
      </c>
      <c r="L41">
        <f>I41/C41</f>
        <v>55.473720712405942</v>
      </c>
      <c r="M41">
        <f t="shared" si="41"/>
        <v>1.7440872956909037</v>
      </c>
      <c r="O41">
        <f>J41/D41</f>
        <v>0.99945525734544938</v>
      </c>
      <c r="P41">
        <f t="shared" si="42"/>
        <v>-2.3664318960178339E-4</v>
      </c>
      <c r="R41" s="4">
        <f>_xlfn.T.DIST.RT(E41*(G41-0.2),F41)</f>
        <v>7.2476574112443148E-5</v>
      </c>
      <c r="S41">
        <f>R41*M41</f>
        <v>1.2640547214471233E-4</v>
      </c>
      <c r="T41">
        <f>(1-R41)*P41</f>
        <v>-2.36626038514114E-4</v>
      </c>
      <c r="U41" s="2">
        <f>_xlfn.T.DIST.RT(E41*(G41-0.4),F41)</f>
        <v>5.5473720712405947E-4</v>
      </c>
      <c r="V41">
        <f>U41*M41</f>
        <v>9.6751011539212564E-4</v>
      </c>
      <c r="W41">
        <f>(1-U41)*P41</f>
        <v>-2.3651191481969877E-4</v>
      </c>
      <c r="X41" s="2">
        <f>_xlfn.T.DIST.RT(E41*(G41-0.8),F41)</f>
        <v>2.7261523830425523E-2</v>
      </c>
      <c r="Y41">
        <f>X41*M41</f>
        <v>4.7546477373819979E-2</v>
      </c>
      <c r="Z41">
        <f>(1-X41)*P41</f>
        <v>-2.3019193564914646E-4</v>
      </c>
      <c r="AB41">
        <f>C41*M41</f>
        <v>1.7440872956909039E-5</v>
      </c>
      <c r="AC41">
        <f>D41*P41</f>
        <v>-2.3664082316988738E-4</v>
      </c>
      <c r="AD41">
        <f>(C41+0.01)*M41</f>
        <v>1.7458313829865946E-2</v>
      </c>
      <c r="AE41">
        <f>(D41-0.01)*P41</f>
        <v>-2.3427439127386953E-4</v>
      </c>
      <c r="AF41">
        <f>(C41+0.05)*M41</f>
        <v>8.7221805657502108E-2</v>
      </c>
      <c r="AG41">
        <f>(D41-0.05)*P41</f>
        <v>-2.2480866368979819E-4</v>
      </c>
      <c r="AH41">
        <f>(C41+0.1)*M41</f>
        <v>0.17442617044204728</v>
      </c>
      <c r="AI41">
        <f>(D41-0.1)*P41</f>
        <v>-2.1297650420970903E-4</v>
      </c>
      <c r="AK41">
        <f>S41+T41</f>
        <v>-1.1022056636940167E-4</v>
      </c>
      <c r="AL41">
        <f>V41+W41</f>
        <v>7.309982005724269E-4</v>
      </c>
      <c r="AM41">
        <f t="shared" si="43"/>
        <v>4.7316285438170833E-2</v>
      </c>
      <c r="AN41">
        <f t="shared" si="44"/>
        <v>-2.1919995021297834E-4</v>
      </c>
      <c r="AO41">
        <f t="shared" si="45"/>
        <v>1.7224039438592076E-2</v>
      </c>
      <c r="AP41">
        <f t="shared" si="46"/>
        <v>8.6996996993812303E-2</v>
      </c>
      <c r="AQ41">
        <f t="shared" si="11"/>
        <v>0.17421319393783757</v>
      </c>
    </row>
    <row r="42" spans="1:43" x14ac:dyDescent="0.3">
      <c r="A42">
        <v>20</v>
      </c>
      <c r="B42">
        <v>0.4</v>
      </c>
      <c r="C42">
        <v>9.9999999999999995E-7</v>
      </c>
      <c r="D42">
        <f t="shared" si="40"/>
        <v>0.99999899999999997</v>
      </c>
      <c r="E42">
        <f t="shared" si="47"/>
        <v>4.4721359549995796</v>
      </c>
      <c r="F42">
        <f t="shared" si="48"/>
        <v>19</v>
      </c>
      <c r="G42">
        <f t="shared" si="49"/>
        <v>1.5033966654533022</v>
      </c>
      <c r="H42">
        <f t="shared" si="50"/>
        <v>1.1033966654533023</v>
      </c>
      <c r="I42" s="2">
        <f>_xlfn.T.DIST.RT(E42*H42,F42)</f>
        <v>4.6014712664891913E-5</v>
      </c>
      <c r="J42">
        <f>1-I42</f>
        <v>0.99995398528733515</v>
      </c>
      <c r="L42">
        <f>I42/C42</f>
        <v>46.014712664891917</v>
      </c>
      <c r="M42">
        <f t="shared" si="41"/>
        <v>1.6628967144546882</v>
      </c>
      <c r="O42">
        <f>J42/D42</f>
        <v>0.9999549852423204</v>
      </c>
      <c r="P42">
        <f t="shared" si="42"/>
        <v>-1.9550100889288796E-5</v>
      </c>
      <c r="R42" s="4">
        <f>_xlfn.T.DIST.RT(E42*(G42-0.2),F42)</f>
        <v>6.4665534083253949E-6</v>
      </c>
      <c r="S42">
        <f>R42*M42</f>
        <v>1.0753210416550064E-5</v>
      </c>
      <c r="T42">
        <f>(1-R42)*P42</f>
        <v>-1.9549974467517257E-5</v>
      </c>
      <c r="U42" s="2">
        <f>_xlfn.T.DIST.RT(E42*(G42-0.4),F42)</f>
        <v>4.6014712664891913E-5</v>
      </c>
      <c r="V42">
        <f>U42*M42</f>
        <v>7.6517714507025295E-5</v>
      </c>
      <c r="W42">
        <f>(1-U42)*P42</f>
        <v>-1.9549201297013806E-5</v>
      </c>
      <c r="X42" s="2">
        <f>_xlfn.T.DIST.RT(E42*(G42-0.8),F42)</f>
        <v>2.6618146970880463E-3</v>
      </c>
      <c r="Y42">
        <f>X42*M42</f>
        <v>4.4263229142749135E-3</v>
      </c>
      <c r="Z42">
        <f>(1-X42)*P42</f>
        <v>-1.9498062143412132E-5</v>
      </c>
      <c r="AB42">
        <f>C42*M42</f>
        <v>1.6628967144546881E-6</v>
      </c>
      <c r="AC42">
        <f>D42*P42</f>
        <v>-1.9550081339187905E-5</v>
      </c>
      <c r="AD42">
        <f>(C42+0.01)*M42</f>
        <v>1.6630630041261335E-2</v>
      </c>
      <c r="AE42">
        <f>(D42-0.01)*P42</f>
        <v>-1.9354580330295017E-5</v>
      </c>
      <c r="AF42">
        <f>(C42+0.05)*M42</f>
        <v>8.3146498619448866E-2</v>
      </c>
      <c r="AG42">
        <f>(D42-0.05)*P42</f>
        <v>-1.8572576294723467E-5</v>
      </c>
      <c r="AH42">
        <f>(C42+0.1)*M42</f>
        <v>0.16629133434218329</v>
      </c>
      <c r="AI42">
        <f>(D42-0.1)*P42</f>
        <v>-1.7595071250259026E-5</v>
      </c>
      <c r="AK42">
        <f>S42+T42</f>
        <v>-8.7967640509671922E-6</v>
      </c>
      <c r="AL42">
        <f>V42+W42</f>
        <v>5.696851321001149E-5</v>
      </c>
      <c r="AM42">
        <f t="shared" si="43"/>
        <v>4.4068248521315009E-3</v>
      </c>
      <c r="AN42">
        <f t="shared" si="44"/>
        <v>-1.7887184624733216E-5</v>
      </c>
      <c r="AO42">
        <f t="shared" si="45"/>
        <v>1.6611275460931042E-2</v>
      </c>
      <c r="AP42">
        <f t="shared" si="46"/>
        <v>8.3127926043154138E-2</v>
      </c>
      <c r="AQ42">
        <f t="shared" si="11"/>
        <v>0.16627373927093303</v>
      </c>
    </row>
    <row r="43" spans="1:43" x14ac:dyDescent="0.3">
      <c r="A43">
        <v>20</v>
      </c>
      <c r="B43">
        <v>0.4</v>
      </c>
      <c r="C43">
        <v>9.9999999999999995E-8</v>
      </c>
      <c r="D43">
        <f t="shared" si="40"/>
        <v>0.99999990000000005</v>
      </c>
      <c r="E43">
        <f t="shared" si="47"/>
        <v>4.4721359549995796</v>
      </c>
      <c r="F43">
        <f t="shared" si="48"/>
        <v>19</v>
      </c>
      <c r="G43">
        <f t="shared" si="49"/>
        <v>1.767636921872052</v>
      </c>
      <c r="H43">
        <f t="shared" si="50"/>
        <v>1.3676369218720521</v>
      </c>
      <c r="I43" s="2">
        <f>_xlfn.T.DIST.RT(E43*H43,F43)</f>
        <v>3.5107627677756226E-6</v>
      </c>
      <c r="J43">
        <f>1-I43</f>
        <v>0.99999648923723228</v>
      </c>
      <c r="L43">
        <f>I43/C43</f>
        <v>35.107627677756227</v>
      </c>
      <c r="M43">
        <f t="shared" si="41"/>
        <v>1.5454014839436003</v>
      </c>
      <c r="O43">
        <f>J43/D43</f>
        <v>0.99999658923689116</v>
      </c>
      <c r="P43">
        <f t="shared" si="42"/>
        <v>-1.4812781233922055E-6</v>
      </c>
      <c r="R43" s="4">
        <f>_xlfn.T.DIST.RT(E43*(G43-0.2),F43)</f>
        <v>5.6150880640744213E-7</v>
      </c>
      <c r="S43">
        <f>R43*M43</f>
        <v>8.6775654266946084E-7</v>
      </c>
      <c r="T43">
        <f>(1-R43)*P43</f>
        <v>-1.4812772916414945E-6</v>
      </c>
      <c r="U43" s="2">
        <f>_xlfn.T.DIST.RT(E43*(G43-0.4),F43)</f>
        <v>3.5107627677756226E-6</v>
      </c>
      <c r="V43">
        <f>U43*M43</f>
        <v>5.4255379910943885E-6</v>
      </c>
      <c r="W43">
        <f>(1-U43)*P43</f>
        <v>-1.4812729229761213E-6</v>
      </c>
      <c r="X43" s="2">
        <f>_xlfn.T.DIST.RT(E43*(G43-0.8),F43)</f>
        <v>1.8149895743907522E-4</v>
      </c>
      <c r="Y43">
        <f>X43*M43</f>
        <v>2.8048875816056321E-4</v>
      </c>
      <c r="Z43">
        <f>(1-X43)*P43</f>
        <v>-1.4810092729571325E-6</v>
      </c>
      <c r="AB43">
        <f>C43*M43</f>
        <v>1.5454014839436002E-7</v>
      </c>
      <c r="AC43">
        <f>D43*P43</f>
        <v>-1.4812779752643932E-6</v>
      </c>
      <c r="AD43">
        <f>(C43+0.01)*M43</f>
        <v>1.5454169379584397E-2</v>
      </c>
      <c r="AE43">
        <f>(D43-0.01)*P43</f>
        <v>-1.4664651940304712E-6</v>
      </c>
      <c r="AF43">
        <f>(C43+0.05)*M43</f>
        <v>7.7270228737328417E-2</v>
      </c>
      <c r="AG43">
        <f>(D43-0.05)*P43</f>
        <v>-1.4072140690947829E-6</v>
      </c>
      <c r="AH43">
        <f>(C43+0.1)*M43</f>
        <v>0.15454030293450843</v>
      </c>
      <c r="AI43">
        <f>(D43-0.1)*P43</f>
        <v>-1.3331501629251729E-6</v>
      </c>
      <c r="AK43">
        <f>S43+T43</f>
        <v>-6.1352074897203364E-7</v>
      </c>
      <c r="AL43">
        <f>V43+W43</f>
        <v>3.9442650681182674E-6</v>
      </c>
      <c r="AM43">
        <f t="shared" si="43"/>
        <v>2.7900774888760607E-4</v>
      </c>
      <c r="AN43">
        <f t="shared" si="44"/>
        <v>-1.3267378268700332E-6</v>
      </c>
      <c r="AO43">
        <f t="shared" si="45"/>
        <v>1.5452702914390366E-2</v>
      </c>
      <c r="AP43">
        <f t="shared" si="46"/>
        <v>7.7268821523259326E-2</v>
      </c>
      <c r="AQ43">
        <f t="shared" si="11"/>
        <v>0.1545389697843455</v>
      </c>
    </row>
    <row r="44" spans="1:43" x14ac:dyDescent="0.3">
      <c r="A44">
        <v>40</v>
      </c>
      <c r="B44">
        <v>0.4</v>
      </c>
      <c r="C44">
        <v>0.5</v>
      </c>
      <c r="D44">
        <f t="shared" si="40"/>
        <v>0.5</v>
      </c>
      <c r="E44">
        <f t="shared" si="47"/>
        <v>6.324555320336759</v>
      </c>
      <c r="F44">
        <f t="shared" si="48"/>
        <v>39</v>
      </c>
      <c r="G44">
        <f t="shared" si="49"/>
        <v>0</v>
      </c>
      <c r="H44">
        <f t="shared" si="50"/>
        <v>-0.4</v>
      </c>
      <c r="I44" s="2">
        <f>_xlfn.T.DIST.RT(E44*H44,F44)</f>
        <v>0.99221831877334055</v>
      </c>
      <c r="J44">
        <f>1-I44</f>
        <v>7.7816812266594537E-3</v>
      </c>
      <c r="L44">
        <f>I44/C44</f>
        <v>1.9844366375466811</v>
      </c>
      <c r="M44">
        <f t="shared" si="41"/>
        <v>0.29763723657492741</v>
      </c>
      <c r="O44">
        <f>J44/D44</f>
        <v>1.5563362453318907E-2</v>
      </c>
      <c r="P44">
        <f t="shared" si="42"/>
        <v>-1.8078965681970458</v>
      </c>
      <c r="R44" s="4">
        <f>_xlfn.T.DIST.RT(E44*(G44-0.2),F44)</f>
        <v>0.89329525173043378</v>
      </c>
      <c r="S44">
        <f>R44*M44</f>
        <v>0.26587793017055045</v>
      </c>
      <c r="T44">
        <f>(1-R44)*P44</f>
        <v>-0.19291114820687844</v>
      </c>
      <c r="U44" s="2">
        <f>_xlfn.T.DIST.RT(E44*(G44-0.4),F44)</f>
        <v>0.99221831877334055</v>
      </c>
      <c r="V44">
        <f>U44*M44</f>
        <v>0.2953211184787175</v>
      </c>
      <c r="W44">
        <f>(1-U44)*P44</f>
        <v>-1.4068474784481004E-2</v>
      </c>
      <c r="X44" s="2">
        <f>_xlfn.T.DIST.RT(E44*(G44-0.8),F44)</f>
        <v>0.99999481316287242</v>
      </c>
      <c r="Y44">
        <f>X44*M44</f>
        <v>0.29763569277905821</v>
      </c>
      <c r="Z44">
        <f>(1-X44)*P44</f>
        <v>-9.377265042748606E-6</v>
      </c>
      <c r="AB44">
        <f>C44*M44</f>
        <v>0.14881861828746371</v>
      </c>
      <c r="AC44">
        <f>D44*P44</f>
        <v>-0.9039482840985229</v>
      </c>
      <c r="AD44">
        <f>(C44+0.01)*M44</f>
        <v>0.15179499065321297</v>
      </c>
      <c r="AE44">
        <f>(D44-0.01)*P44</f>
        <v>-0.88586931841655248</v>
      </c>
      <c r="AF44">
        <f>(C44+0.05)*M44</f>
        <v>0.16370048011621008</v>
      </c>
      <c r="AG44">
        <f>(D44-0.05)*P44</f>
        <v>-0.81355345568867066</v>
      </c>
      <c r="AH44">
        <f>(C44+0.1)*M44</f>
        <v>0.17858234194495645</v>
      </c>
      <c r="AI44">
        <f>(D44-0.1)*P44</f>
        <v>-0.72315862727881841</v>
      </c>
      <c r="AK44">
        <f>S44+T44</f>
        <v>7.2966781963672012E-2</v>
      </c>
      <c r="AL44">
        <f>V44+W44</f>
        <v>0.28125264369423653</v>
      </c>
      <c r="AM44">
        <f t="shared" si="43"/>
        <v>0.29762631551401547</v>
      </c>
      <c r="AN44">
        <f t="shared" si="44"/>
        <v>-0.75512966581105923</v>
      </c>
      <c r="AO44">
        <f t="shared" si="45"/>
        <v>-0.73407432776333947</v>
      </c>
      <c r="AP44">
        <f t="shared" si="46"/>
        <v>-0.64985297557246058</v>
      </c>
      <c r="AQ44">
        <f t="shared" si="11"/>
        <v>-0.54457628533386193</v>
      </c>
    </row>
    <row r="45" spans="1:43" x14ac:dyDescent="0.3">
      <c r="A45">
        <v>40</v>
      </c>
      <c r="B45">
        <v>0.4</v>
      </c>
      <c r="C45">
        <v>0.2</v>
      </c>
      <c r="D45">
        <f t="shared" si="40"/>
        <v>0.8</v>
      </c>
      <c r="E45">
        <f t="shared" si="47"/>
        <v>6.324555320336759</v>
      </c>
      <c r="F45">
        <f t="shared" si="48"/>
        <v>39</v>
      </c>
      <c r="G45">
        <f t="shared" si="49"/>
        <v>0.13454464018741705</v>
      </c>
      <c r="H45">
        <f t="shared" si="50"/>
        <v>-0.26545535981258295</v>
      </c>
      <c r="I45" s="2">
        <f>_xlfn.T.DIST.RT(E45*H45,F45)</f>
        <v>0.94941492689124407</v>
      </c>
      <c r="J45">
        <f>1-I45</f>
        <v>5.0585073108755929E-2</v>
      </c>
      <c r="L45">
        <f>I45/C45</f>
        <v>4.7470746344562205</v>
      </c>
      <c r="M45">
        <f t="shared" si="41"/>
        <v>0.67642605983668547</v>
      </c>
      <c r="O45">
        <f>J45/D45</f>
        <v>6.3231341385944911E-2</v>
      </c>
      <c r="P45">
        <f t="shared" si="42"/>
        <v>-1.1990676049915456</v>
      </c>
      <c r="R45" s="4">
        <f>_xlfn.T.DIST.RT(E45*(G45-0.2),F45)</f>
        <v>0.65942021260902139</v>
      </c>
      <c r="S45">
        <f>R45*M45</f>
        <v>0.44604901619178977</v>
      </c>
      <c r="T45">
        <f>(1-R45)*P45</f>
        <v>-0.40837818997543052</v>
      </c>
      <c r="U45" s="2">
        <f>_xlfn.T.DIST.RT(E45*(G45-0.4),F45)</f>
        <v>0.94941492689124407</v>
      </c>
      <c r="V45">
        <f>U45*M45</f>
        <v>0.64220899814717902</v>
      </c>
      <c r="W45">
        <f>(1-U45)*P45</f>
        <v>-6.0654922460838215E-2</v>
      </c>
      <c r="X45" s="2">
        <f>_xlfn.T.DIST.RT(E45*(G45-0.8),F45)</f>
        <v>0.99992700423083347</v>
      </c>
      <c r="Y45">
        <f>X45*M45</f>
        <v>0.67637668359616343</v>
      </c>
      <c r="Z45">
        <f>(1-X45)*P45</f>
        <v>-8.7526862109024904E-5</v>
      </c>
      <c r="AB45">
        <f>C45*M45</f>
        <v>0.13528521196733709</v>
      </c>
      <c r="AC45">
        <f>D45*P45</f>
        <v>-0.95925408399323653</v>
      </c>
      <c r="AD45">
        <f>(C45+0.01)*M45</f>
        <v>0.14204947256570397</v>
      </c>
      <c r="AE45">
        <f>(D45-0.01)*P45</f>
        <v>-0.94726340794332109</v>
      </c>
      <c r="AF45">
        <f>(C45+0.05)*M45</f>
        <v>0.16910651495917137</v>
      </c>
      <c r="AG45">
        <f>(D45-0.05)*P45</f>
        <v>-0.89930070374365922</v>
      </c>
      <c r="AH45">
        <f>(C45+0.1)*M45</f>
        <v>0.20292781795100567</v>
      </c>
      <c r="AI45">
        <f>(D45-0.1)*P45</f>
        <v>-0.83934732349408203</v>
      </c>
      <c r="AK45">
        <f>S45+T45</f>
        <v>3.7670826216359254E-2</v>
      </c>
      <c r="AL45">
        <f>V45+W45</f>
        <v>0.58155407568634077</v>
      </c>
      <c r="AM45">
        <f t="shared" si="43"/>
        <v>0.67628915673405443</v>
      </c>
      <c r="AN45">
        <f t="shared" si="44"/>
        <v>-0.82396887202589941</v>
      </c>
      <c r="AO45">
        <f t="shared" si="45"/>
        <v>-0.8052139353776171</v>
      </c>
      <c r="AP45">
        <f t="shared" si="46"/>
        <v>-0.73019418878448783</v>
      </c>
      <c r="AQ45">
        <f t="shared" si="11"/>
        <v>-0.63641950554307636</v>
      </c>
    </row>
    <row r="46" spans="1:43" x14ac:dyDescent="0.3">
      <c r="A46">
        <v>40</v>
      </c>
      <c r="B46">
        <v>0.4</v>
      </c>
      <c r="C46">
        <v>0.1</v>
      </c>
      <c r="D46">
        <f t="shared" si="40"/>
        <v>0.9</v>
      </c>
      <c r="E46">
        <f t="shared" si="47"/>
        <v>6.324555320336759</v>
      </c>
      <c r="F46">
        <f t="shared" si="48"/>
        <v>39</v>
      </c>
      <c r="G46">
        <f t="shared" si="49"/>
        <v>0.2061233592865245</v>
      </c>
      <c r="H46">
        <f t="shared" si="50"/>
        <v>-0.19387664071347552</v>
      </c>
      <c r="I46" s="2">
        <f>_xlfn.T.DIST.RT(E46*H46,F46)</f>
        <v>0.88625902124626454</v>
      </c>
      <c r="J46">
        <f>1-I46</f>
        <v>0.11374097875373546</v>
      </c>
      <c r="L46">
        <f>I46/C46</f>
        <v>8.8625902124626457</v>
      </c>
      <c r="M46">
        <f t="shared" si="41"/>
        <v>0.94756066890484081</v>
      </c>
      <c r="O46">
        <f>J46/D46</f>
        <v>0.12637886528192829</v>
      </c>
      <c r="P46">
        <f t="shared" si="42"/>
        <v>-0.89832554835491896</v>
      </c>
      <c r="R46" s="4">
        <f>_xlfn.T.DIST.RT(E46*(G46-0.2),F46)</f>
        <v>0.48465259909069069</v>
      </c>
      <c r="S46">
        <f>R46*M46</f>
        <v>0.45923774098084452</v>
      </c>
      <c r="T46">
        <f>(1-R46)*P46</f>
        <v>-0.46294973651513754</v>
      </c>
      <c r="U46" s="2">
        <f>_xlfn.T.DIST.RT(E46*(G46-0.4),F46)</f>
        <v>0.88625902124626454</v>
      </c>
      <c r="V46">
        <f>U46*M46</f>
        <v>0.83978419099505996</v>
      </c>
      <c r="W46">
        <f>(1-U46)*P46</f>
        <v>-0.10217642710937459</v>
      </c>
      <c r="X46" s="2">
        <f>_xlfn.T.DIST.RT(E46*(G46-0.8),F46)</f>
        <v>0.9997181450537177</v>
      </c>
      <c r="Y46">
        <f>X46*M46</f>
        <v>0.94729359424340742</v>
      </c>
      <c r="Z46">
        <f>(1-X46)*P46</f>
        <v>-2.5319749917559391E-4</v>
      </c>
      <c r="AB46">
        <f>C46*M46</f>
        <v>9.4756066890484089E-2</v>
      </c>
      <c r="AC46">
        <f>D46*P46</f>
        <v>-0.80849299351942705</v>
      </c>
      <c r="AD46">
        <f>(C46+0.01)*M46</f>
        <v>0.10423167357953249</v>
      </c>
      <c r="AE46">
        <f>(D46-0.01)*P46</f>
        <v>-0.79950973803587788</v>
      </c>
      <c r="AF46">
        <f>(C46+0.05)*M46</f>
        <v>0.14213410033572615</v>
      </c>
      <c r="AG46">
        <f>(D46-0.05)*P46</f>
        <v>-0.7635767161016811</v>
      </c>
      <c r="AH46">
        <f>(C46+0.1)*M46</f>
        <v>0.18951213378096818</v>
      </c>
      <c r="AI46">
        <f>(D46-0.1)*P46</f>
        <v>-0.71866043868393525</v>
      </c>
      <c r="AK46">
        <f>S46+T46</f>
        <v>-3.7119955342930222E-3</v>
      </c>
      <c r="AL46">
        <f>V46+W46</f>
        <v>0.73760776388568539</v>
      </c>
      <c r="AM46">
        <f t="shared" si="43"/>
        <v>0.94704039674423179</v>
      </c>
      <c r="AN46">
        <f t="shared" si="44"/>
        <v>-0.71373692662894295</v>
      </c>
      <c r="AO46">
        <f t="shared" si="45"/>
        <v>-0.69527806445634543</v>
      </c>
      <c r="AP46">
        <f t="shared" si="46"/>
        <v>-0.62144261576595494</v>
      </c>
      <c r="AQ46">
        <f t="shared" si="11"/>
        <v>-0.52914830490296705</v>
      </c>
    </row>
    <row r="47" spans="1:43" x14ac:dyDescent="0.3">
      <c r="A47">
        <v>40</v>
      </c>
      <c r="B47">
        <v>0.4</v>
      </c>
      <c r="C47">
        <v>0.05</v>
      </c>
      <c r="D47">
        <f t="shared" si="40"/>
        <v>0.95</v>
      </c>
      <c r="E47">
        <f t="shared" si="47"/>
        <v>6.324555320336759</v>
      </c>
      <c r="F47">
        <f t="shared" si="48"/>
        <v>39</v>
      </c>
      <c r="G47">
        <f t="shared" si="49"/>
        <v>0.26640214787804423</v>
      </c>
      <c r="H47">
        <f t="shared" si="50"/>
        <v>-0.1335978521219558</v>
      </c>
      <c r="I47" s="2">
        <f>_xlfn.T.DIST.RT(E47*H47,F47)</f>
        <v>0.79835284600482082</v>
      </c>
      <c r="J47">
        <f>1-I47</f>
        <v>0.20164715399517918</v>
      </c>
      <c r="L47">
        <f>I47/C47</f>
        <v>15.967056920096416</v>
      </c>
      <c r="M47">
        <f t="shared" si="41"/>
        <v>1.2032248734865414</v>
      </c>
      <c r="O47">
        <f>J47/D47</f>
        <v>0.21226016210018864</v>
      </c>
      <c r="P47">
        <f t="shared" si="42"/>
        <v>-0.67313150844142378</v>
      </c>
      <c r="R47" s="4">
        <f>_xlfn.T.DIST.RT(E47*(G47-0.2),F47)</f>
        <v>0.33840822369004592</v>
      </c>
      <c r="S47">
        <f>R47*M47</f>
        <v>0.40718119213626069</v>
      </c>
      <c r="T47">
        <f>(1-R47)*P47</f>
        <v>-0.44533827035996043</v>
      </c>
      <c r="U47" s="2">
        <f>_xlfn.T.DIST.RT(E47*(G47-0.4),F47)</f>
        <v>0.79835284600482082</v>
      </c>
      <c r="V47">
        <f>U47*M47</f>
        <v>0.96059800213177082</v>
      </c>
      <c r="W47">
        <f>(1-U47)*P47</f>
        <v>-0.13573505294169505</v>
      </c>
      <c r="X47" s="2">
        <f>_xlfn.T.DIST.RT(E47*(G47-0.8),F47)</f>
        <v>0.99915899347942094</v>
      </c>
      <c r="Y47">
        <f>X47*M47</f>
        <v>1.2022129535222164</v>
      </c>
      <c r="Z47">
        <f>(1-X47)*P47</f>
        <v>-5.6610798780645419E-4</v>
      </c>
      <c r="AB47">
        <f>C47*M47</f>
        <v>6.016124367432707E-2</v>
      </c>
      <c r="AC47">
        <f>D47*P47</f>
        <v>-0.63947493301935254</v>
      </c>
      <c r="AD47">
        <f>(C47+0.01)*M47</f>
        <v>7.2193492409192483E-2</v>
      </c>
      <c r="AE47">
        <f>(D47-0.01)*P47</f>
        <v>-0.63274361793493827</v>
      </c>
      <c r="AF47">
        <f>(C47+0.05)*M47</f>
        <v>0.12032248734865414</v>
      </c>
      <c r="AG47">
        <f>(D47-0.05)*P47</f>
        <v>-0.60581835759728131</v>
      </c>
      <c r="AH47">
        <f>(C47+0.1)*M47</f>
        <v>0.18048373102298124</v>
      </c>
      <c r="AI47">
        <f>(D47-0.1)*P47</f>
        <v>-0.57216178217521019</v>
      </c>
      <c r="AK47">
        <f>S47+T47</f>
        <v>-3.8157078223699736E-2</v>
      </c>
      <c r="AL47">
        <f>V47+W47</f>
        <v>0.82486294919007574</v>
      </c>
      <c r="AM47">
        <f t="shared" si="43"/>
        <v>1.2016468455344098</v>
      </c>
      <c r="AN47">
        <f t="shared" si="44"/>
        <v>-0.57931368934502547</v>
      </c>
      <c r="AO47">
        <f t="shared" si="45"/>
        <v>-0.56055012552574579</v>
      </c>
      <c r="AP47">
        <f t="shared" si="46"/>
        <v>-0.48549587024862717</v>
      </c>
      <c r="AQ47">
        <f t="shared" si="11"/>
        <v>-0.39167805115222898</v>
      </c>
    </row>
    <row r="48" spans="1:43" x14ac:dyDescent="0.3">
      <c r="A48">
        <v>40</v>
      </c>
      <c r="B48">
        <v>0.4</v>
      </c>
      <c r="C48">
        <v>2.843385E-2</v>
      </c>
      <c r="D48">
        <f t="shared" si="40"/>
        <v>0.97156615000000002</v>
      </c>
      <c r="E48">
        <v>6.32455532</v>
      </c>
      <c r="F48">
        <v>39</v>
      </c>
      <c r="G48">
        <v>0.31029741199999999</v>
      </c>
      <c r="H48">
        <v>-8.9702588E-2</v>
      </c>
      <c r="I48" s="2">
        <v>0.71312895499999995</v>
      </c>
      <c r="J48">
        <f>1-I48</f>
        <v>0.28687104500000005</v>
      </c>
      <c r="L48">
        <f>I48/C48</f>
        <v>25.080281249285623</v>
      </c>
      <c r="M48">
        <f t="shared" si="41"/>
        <v>1.3993324023471923</v>
      </c>
      <c r="O48">
        <f>J48/D48</f>
        <v>0.29526661154261091</v>
      </c>
      <c r="P48">
        <f t="shared" si="42"/>
        <v>-0.52978565985042847</v>
      </c>
      <c r="R48" s="4">
        <f>_xlfn.T.DIST.RT(E48*(G48-0.2),F48)</f>
        <v>0.24478836096970386</v>
      </c>
      <c r="S48">
        <f>R48*M48</f>
        <v>0.34254028522236735</v>
      </c>
      <c r="T48">
        <f>(1-R48)*P48</f>
        <v>-0.40010029651038903</v>
      </c>
      <c r="U48" s="2">
        <f>_xlfn.T.DIST.RT(E48*(G48-0.4),F48)</f>
        <v>0.71312895472932625</v>
      </c>
      <c r="V48">
        <f>U48*M48</f>
        <v>0.99790445340473022</v>
      </c>
      <c r="W48">
        <f>(1-U48)*P48</f>
        <v>-0.15198016601070602</v>
      </c>
      <c r="X48" s="2">
        <f>_xlfn.T.DIST.RT(E48*(G48-0.8),F48)</f>
        <v>0.99819379429575505</v>
      </c>
      <c r="Y48">
        <f>X48*M48</f>
        <v>1.396804920179938</v>
      </c>
      <c r="Z48">
        <f>(1-X48)*P48</f>
        <v>-9.5690188084901625E-4</v>
      </c>
      <c r="AB48">
        <f>C48*M48</f>
        <v>3.9788407628479711E-2</v>
      </c>
      <c r="AC48">
        <f>D48*P48</f>
        <v>-0.51472181386609039</v>
      </c>
      <c r="AD48">
        <f>(C48+0.01)*M48</f>
        <v>5.3781731651951631E-2</v>
      </c>
      <c r="AE48">
        <f>(D48-0.01)*P48</f>
        <v>-0.50942395726758605</v>
      </c>
      <c r="AF48">
        <f>(C48+0.05)*M48</f>
        <v>0.10975502774583933</v>
      </c>
      <c r="AG48">
        <f>(D48-0.05)*P48</f>
        <v>-0.48823253087356894</v>
      </c>
      <c r="AH48">
        <f>(C48+0.1)*M48</f>
        <v>0.17972164786319897</v>
      </c>
      <c r="AI48">
        <f>(D48-0.1)*P48</f>
        <v>-0.46174324788104754</v>
      </c>
      <c r="AK48">
        <f>S48+T48</f>
        <v>-5.7560011288021684E-2</v>
      </c>
      <c r="AL48">
        <f>V48+W48</f>
        <v>0.84592428739402425</v>
      </c>
      <c r="AM48">
        <f t="shared" si="43"/>
        <v>1.3958480182990889</v>
      </c>
      <c r="AN48">
        <f t="shared" si="44"/>
        <v>-0.47493340623761071</v>
      </c>
      <c r="AO48">
        <f t="shared" si="45"/>
        <v>-0.45564222561563439</v>
      </c>
      <c r="AP48">
        <f t="shared" si="46"/>
        <v>-0.3784775031277296</v>
      </c>
      <c r="AQ48">
        <f t="shared" si="11"/>
        <v>-0.28202160001784859</v>
      </c>
    </row>
    <row r="49" spans="1:43" x14ac:dyDescent="0.3">
      <c r="A49">
        <v>40</v>
      </c>
      <c r="B49">
        <v>0.4</v>
      </c>
      <c r="C49">
        <v>0.02</v>
      </c>
      <c r="D49">
        <f t="shared" si="40"/>
        <v>0.98</v>
      </c>
      <c r="E49">
        <f t="shared" ref="E49:E64" si="63">SQRT(A49)</f>
        <v>6.324555320336759</v>
      </c>
      <c r="F49">
        <f t="shared" ref="F49:F64" si="64">A49-1</f>
        <v>39</v>
      </c>
      <c r="G49">
        <f t="shared" ref="G49:G64" si="65">-_xlfn.T.INV(C49,F49)/E49</f>
        <v>0.33595121928354521</v>
      </c>
      <c r="H49">
        <f t="shared" ref="H49:H64" si="66">G49-B49</f>
        <v>-6.4048780716454812E-2</v>
      </c>
      <c r="I49" s="2">
        <f>_xlfn.T.DIST.RT(E49*H49,F49)</f>
        <v>0.65618392433069184</v>
      </c>
      <c r="J49">
        <f>1-I49</f>
        <v>0.34381607566930816</v>
      </c>
      <c r="L49">
        <f>I49/C49</f>
        <v>32.809196216534588</v>
      </c>
      <c r="M49">
        <f t="shared" si="41"/>
        <v>1.5159955908554281</v>
      </c>
      <c r="O49">
        <f>J49/D49</f>
        <v>0.35083273027480427</v>
      </c>
      <c r="P49">
        <f t="shared" si="42"/>
        <v>-0.45489989673513903</v>
      </c>
      <c r="R49" s="4">
        <f>_xlfn.T.DIST.RT(E49*(G49-0.2),F49)</f>
        <v>0.19756850266251474</v>
      </c>
      <c r="S49">
        <f>R49*M49</f>
        <v>0.29951297892828127</v>
      </c>
      <c r="T49">
        <f>(1-R49)*P49</f>
        <v>-0.36502600527584506</v>
      </c>
      <c r="U49" s="2">
        <f>_xlfn.T.DIST.RT(E49*(G49-0.4),F49)</f>
        <v>0.65618392433069184</v>
      </c>
      <c r="V49">
        <f>U49*M49</f>
        <v>0.99477193607554071</v>
      </c>
      <c r="W49">
        <f>(1-U49)*P49</f>
        <v>-0.15640189731784904</v>
      </c>
      <c r="X49" s="2">
        <f>_xlfn.T.DIST.RT(E49*(G49-0.8),F49)</f>
        <v>0.9972163524043155</v>
      </c>
      <c r="Y49">
        <f>X49*M49</f>
        <v>1.511775593373875</v>
      </c>
      <c r="Z49">
        <f>(1-X49)*P49</f>
        <v>-1.266281003823898E-3</v>
      </c>
      <c r="AB49">
        <f>C49*M49</f>
        <v>3.0319911817108563E-2</v>
      </c>
      <c r="AC49">
        <f>D49*P49</f>
        <v>-0.44580189880043625</v>
      </c>
      <c r="AD49">
        <f>(C49+0.01)*M49</f>
        <v>4.5479867725662843E-2</v>
      </c>
      <c r="AE49">
        <f>(D49-0.01)*P49</f>
        <v>-0.44125289983308486</v>
      </c>
      <c r="AF49">
        <f>(C49+0.05)*M49</f>
        <v>0.10611969135987998</v>
      </c>
      <c r="AG49">
        <f>(D49-0.05)*P49</f>
        <v>-0.42305690396367929</v>
      </c>
      <c r="AH49">
        <f>(C49+0.1)*M49</f>
        <v>0.1819194709026514</v>
      </c>
      <c r="AI49">
        <f>(D49-0.1)*P49</f>
        <v>-0.40031190912692233</v>
      </c>
      <c r="AK49">
        <f>S49+T49</f>
        <v>-6.5513026347563785E-2</v>
      </c>
      <c r="AL49">
        <f>V49+W49</f>
        <v>0.83837003875769167</v>
      </c>
      <c r="AM49">
        <f t="shared" si="43"/>
        <v>1.510509312370051</v>
      </c>
      <c r="AN49">
        <f t="shared" si="44"/>
        <v>-0.41548198698332767</v>
      </c>
      <c r="AO49">
        <f t="shared" si="45"/>
        <v>-0.39577303210742198</v>
      </c>
      <c r="AP49">
        <f t="shared" si="46"/>
        <v>-0.31693721260379931</v>
      </c>
      <c r="AQ49">
        <f t="shared" si="11"/>
        <v>-0.21839243822427093</v>
      </c>
    </row>
    <row r="50" spans="1:43" x14ac:dyDescent="0.3">
      <c r="A50">
        <v>40</v>
      </c>
      <c r="B50">
        <v>0.4</v>
      </c>
      <c r="C50">
        <v>0.01</v>
      </c>
      <c r="D50">
        <f t="shared" si="40"/>
        <v>0.99</v>
      </c>
      <c r="E50">
        <f t="shared" si="63"/>
        <v>6.324555320336759</v>
      </c>
      <c r="F50">
        <f t="shared" si="64"/>
        <v>39</v>
      </c>
      <c r="G50">
        <f t="shared" si="65"/>
        <v>0.3835592048559176</v>
      </c>
      <c r="H50">
        <f t="shared" si="66"/>
        <v>-1.6440795144082421E-2</v>
      </c>
      <c r="I50" s="2">
        <f>_xlfn.T.DIST.RT(E50*H50,F50)</f>
        <v>0.54114122705225753</v>
      </c>
      <c r="J50">
        <f>1-I50</f>
        <v>0.45885877294774247</v>
      </c>
      <c r="L50">
        <f>I50/C50</f>
        <v>54.114122705225753</v>
      </c>
      <c r="M50">
        <f t="shared" si="41"/>
        <v>1.7333106220849486</v>
      </c>
      <c r="O50">
        <f>J50/D50</f>
        <v>0.46349371004822471</v>
      </c>
      <c r="P50">
        <f t="shared" si="42"/>
        <v>-0.33395615517618937</v>
      </c>
      <c r="R50" s="4">
        <f>_xlfn.T.DIST.RT(E50*(G50-0.2),F50)</f>
        <v>0.12636352571639692</v>
      </c>
      <c r="S50">
        <f>R50*M50</f>
        <v>0.21902724136833535</v>
      </c>
      <c r="T50">
        <f>(1-R50)*P50</f>
        <v>-0.29175627797343395</v>
      </c>
      <c r="U50" s="2">
        <f>_xlfn.T.DIST.RT(E50*(G50-0.4),F50)</f>
        <v>0.54114122705225753</v>
      </c>
      <c r="V50">
        <f>U50*M50</f>
        <v>0.93796583689776092</v>
      </c>
      <c r="W50">
        <f>(1-U50)*P50</f>
        <v>-0.15323871158249214</v>
      </c>
      <c r="X50" s="2">
        <f>_xlfn.T.DIST.RT(E50*(G50-0.8),F50)</f>
        <v>0.99397801192967616</v>
      </c>
      <c r="Y50">
        <f>X50*M50</f>
        <v>1.7228726461965875</v>
      </c>
      <c r="Z50">
        <f>(1-X50)*P50</f>
        <v>-2.0110799824822282E-3</v>
      </c>
      <c r="AB50">
        <f>C50*M50</f>
        <v>1.7333106220849485E-2</v>
      </c>
      <c r="AC50">
        <f>D50*P50</f>
        <v>-0.33061659362442747</v>
      </c>
      <c r="AD50">
        <f>(C50+0.01)*M50</f>
        <v>3.4666212441698971E-2</v>
      </c>
      <c r="AE50">
        <f>(D50-0.01)*P50</f>
        <v>-0.32727703207266556</v>
      </c>
      <c r="AF50">
        <f>(C50+0.05)*M50</f>
        <v>0.10399863732509693</v>
      </c>
      <c r="AG50">
        <f>(D50-0.05)*P50</f>
        <v>-0.313918785865618</v>
      </c>
      <c r="AH50">
        <f>(C50+0.1)*M50</f>
        <v>0.19066416842934433</v>
      </c>
      <c r="AI50">
        <f>(D50-0.1)*P50</f>
        <v>-0.29722097810680853</v>
      </c>
      <c r="AK50">
        <f>S50+T50</f>
        <v>-7.2729036605098607E-2</v>
      </c>
      <c r="AL50">
        <f>V50+W50</f>
        <v>0.78472712531526878</v>
      </c>
      <c r="AM50">
        <f t="shared" si="43"/>
        <v>1.7208615662141054</v>
      </c>
      <c r="AN50">
        <f t="shared" si="44"/>
        <v>-0.31328348740357798</v>
      </c>
      <c r="AO50">
        <f t="shared" si="45"/>
        <v>-0.29261081963096658</v>
      </c>
      <c r="AP50">
        <f t="shared" si="46"/>
        <v>-0.20992014854052107</v>
      </c>
      <c r="AQ50">
        <f t="shared" si="11"/>
        <v>-0.1065568096774642</v>
      </c>
    </row>
    <row r="51" spans="1:43" x14ac:dyDescent="0.3">
      <c r="A51">
        <v>40</v>
      </c>
      <c r="B51">
        <v>0.4</v>
      </c>
      <c r="C51">
        <v>5.0000000000000001E-3</v>
      </c>
      <c r="D51">
        <f t="shared" ref="D51" si="67">1-C51</f>
        <v>0.995</v>
      </c>
      <c r="E51">
        <f t="shared" ref="E51" si="68">SQRT(A51)</f>
        <v>6.324555320336759</v>
      </c>
      <c r="F51">
        <f t="shared" ref="F51" si="69">A51-1</f>
        <v>39</v>
      </c>
      <c r="G51">
        <f t="shared" ref="G51" si="70">-_xlfn.T.INV(C51,F51)/E51</f>
        <v>0.42815866829566684</v>
      </c>
      <c r="H51">
        <f t="shared" ref="H51" si="71">G51-B51</f>
        <v>2.8158668295666822E-2</v>
      </c>
      <c r="I51" s="2">
        <f>_xlfn.T.DIST.RT(E51*H51,F51)</f>
        <v>0.42978665958895368</v>
      </c>
      <c r="J51">
        <f>1-I51</f>
        <v>0.57021334041104632</v>
      </c>
      <c r="L51">
        <f>I51/C51</f>
        <v>85.957331917790739</v>
      </c>
      <c r="M51">
        <f t="shared" ref="M51" si="72">LOG10(L51)</f>
        <v>1.9342829266965127</v>
      </c>
      <c r="O51">
        <f>J51/D51</f>
        <v>0.5730787340814536</v>
      </c>
      <c r="P51">
        <f t="shared" ref="P51" si="73">LOG10(O51)</f>
        <v>-0.24178570712842173</v>
      </c>
      <c r="R51" s="4">
        <f>_xlfn.T.DIST.RT(E51*(G51-0.2),F51)</f>
        <v>7.8502144662902382E-2</v>
      </c>
      <c r="S51">
        <f>R51*M51</f>
        <v>0.15184535813051184</v>
      </c>
      <c r="T51">
        <f>(1-R51)*P51</f>
        <v>-0.22280501057000421</v>
      </c>
      <c r="U51" s="2">
        <f>_xlfn.T.DIST.RT(E51*(G51-0.4),F51)</f>
        <v>0.42978665958895368</v>
      </c>
      <c r="V51">
        <f>U51*M51</f>
        <v>0.83132899776483915</v>
      </c>
      <c r="W51">
        <f>(1-U51)*P51</f>
        <v>-0.1378694357253443</v>
      </c>
      <c r="X51" s="2">
        <f>_xlfn.T.DIST.RT(E51*(G51-0.8),F51)</f>
        <v>0.98808437505566504</v>
      </c>
      <c r="Y51">
        <f>X51*M51</f>
        <v>1.9112347368057665</v>
      </c>
      <c r="Z51">
        <f>(1-X51)*P51</f>
        <v>-2.8810278030430886E-3</v>
      </c>
      <c r="AB51">
        <f>C51*M51</f>
        <v>9.671414633482563E-3</v>
      </c>
      <c r="AC51">
        <f>D51*P51</f>
        <v>-0.24057677859277962</v>
      </c>
      <c r="AD51">
        <f>(C51+0.01)*M51</f>
        <v>2.9014243900447691E-2</v>
      </c>
      <c r="AE51">
        <f>(D51-0.01)*P51</f>
        <v>-0.2381589215214954</v>
      </c>
      <c r="AF51">
        <f>(C51+0.05)*M51</f>
        <v>0.1063855609683082</v>
      </c>
      <c r="AG51">
        <f>(D51-0.05)*P51</f>
        <v>-0.22848749323635853</v>
      </c>
      <c r="AH51">
        <f>(C51+0.1)*M51</f>
        <v>0.20309970730313384</v>
      </c>
      <c r="AI51">
        <f>(D51-0.1)*P51</f>
        <v>-0.21639820787993747</v>
      </c>
      <c r="AK51">
        <f>S51+T51</f>
        <v>-7.0959652439492371E-2</v>
      </c>
      <c r="AL51">
        <f>V51+W51</f>
        <v>0.69345956203949488</v>
      </c>
      <c r="AM51">
        <f t="shared" ref="AM51" si="74">Y51+Z51</f>
        <v>1.9083537090027234</v>
      </c>
      <c r="AN51">
        <f t="shared" ref="AN51" si="75">AB51+AC51</f>
        <v>-0.23090536395929706</v>
      </c>
      <c r="AO51">
        <f t="shared" ref="AO51" si="76">AD51+AE51</f>
        <v>-0.20914467762104771</v>
      </c>
      <c r="AP51">
        <f t="shared" ref="AP51" si="77">AF51+AG51</f>
        <v>-0.12210193226805033</v>
      </c>
      <c r="AQ51">
        <f t="shared" ref="AQ51" si="78">AH51+AI51</f>
        <v>-1.3298500576803624E-2</v>
      </c>
    </row>
    <row r="52" spans="1:43" x14ac:dyDescent="0.3">
      <c r="A52">
        <v>40</v>
      </c>
      <c r="B52">
        <v>0.4</v>
      </c>
      <c r="C52">
        <v>2E-3</v>
      </c>
      <c r="D52">
        <f t="shared" si="40"/>
        <v>0.998</v>
      </c>
      <c r="E52">
        <f t="shared" si="63"/>
        <v>6.324555320336759</v>
      </c>
      <c r="F52">
        <f t="shared" si="64"/>
        <v>39</v>
      </c>
      <c r="G52">
        <f t="shared" si="65"/>
        <v>0.48371608563369134</v>
      </c>
      <c r="H52">
        <f t="shared" si="66"/>
        <v>8.3716085633691317E-2</v>
      </c>
      <c r="I52" s="2">
        <f>_xlfn.T.DIST.RT(E52*H52,F52)</f>
        <v>0.29974136014648944</v>
      </c>
      <c r="J52">
        <f>1-I52</f>
        <v>0.70025863985351056</v>
      </c>
      <c r="L52">
        <f>I52/C52</f>
        <v>149.87068007324473</v>
      </c>
      <c r="M52">
        <f t="shared" si="41"/>
        <v>2.175716678025899</v>
      </c>
      <c r="O52">
        <f>J52/D52</f>
        <v>0.70166196378107271</v>
      </c>
      <c r="P52">
        <f t="shared" si="42"/>
        <v>-0.1538720653946839</v>
      </c>
      <c r="R52" s="4">
        <f>_xlfn.T.DIST.RT(E52*(G52-0.2),F52)</f>
        <v>4.0253720616492808E-2</v>
      </c>
      <c r="S52">
        <f>R52*M52</f>
        <v>8.7580691297898375E-2</v>
      </c>
      <c r="T52">
        <f>(1-R52)*P52</f>
        <v>-0.1476781422636036</v>
      </c>
      <c r="U52" s="2">
        <f>_xlfn.T.DIST.RT(E52*(G52-0.4),F52)</f>
        <v>0.29974136014648944</v>
      </c>
      <c r="V52">
        <f>U52*M52</f>
        <v>0.6521522763648846</v>
      </c>
      <c r="W52">
        <f>(1-U52)*P52</f>
        <v>-0.10775024322473177</v>
      </c>
      <c r="X52" s="2">
        <f>_xlfn.T.DIST.RT(E52*(G52-0.8),F52)</f>
        <v>0.97377045749692825</v>
      </c>
      <c r="Y52">
        <f>X52*M52</f>
        <v>2.1186486249449765</v>
      </c>
      <c r="Z52">
        <f>(1-X52)*P52</f>
        <v>-4.0359938793052968E-3</v>
      </c>
      <c r="AB52">
        <f>C52*M52</f>
        <v>4.3514333560517983E-3</v>
      </c>
      <c r="AC52">
        <f>D52*P52</f>
        <v>-0.15356432126389452</v>
      </c>
      <c r="AD52">
        <f>(C52+0.01)*M52</f>
        <v>2.6108600136310788E-2</v>
      </c>
      <c r="AE52">
        <f>(D52-0.01)*P52</f>
        <v>-0.15202560060994769</v>
      </c>
      <c r="AF52">
        <f>(C52+0.05)*M52</f>
        <v>0.11313726725734675</v>
      </c>
      <c r="AG52">
        <f>(D52-0.05)*P52</f>
        <v>-0.14587071799416032</v>
      </c>
      <c r="AH52">
        <f>(C52+0.1)*M52</f>
        <v>0.22192310115864172</v>
      </c>
      <c r="AI52">
        <f>(D52-0.1)*P52</f>
        <v>-0.13817711472442615</v>
      </c>
      <c r="AK52">
        <f>S52+T52</f>
        <v>-6.0097450965705221E-2</v>
      </c>
      <c r="AL52">
        <f>V52+W52</f>
        <v>0.54440203314015279</v>
      </c>
      <c r="AM52">
        <f t="shared" si="43"/>
        <v>2.1146126310656714</v>
      </c>
      <c r="AN52">
        <f t="shared" si="44"/>
        <v>-0.14921288790784273</v>
      </c>
      <c r="AO52">
        <f t="shared" si="45"/>
        <v>-0.12591700047363691</v>
      </c>
      <c r="AP52">
        <f t="shared" si="46"/>
        <v>-3.2733450736813566E-2</v>
      </c>
      <c r="AQ52">
        <f t="shared" si="11"/>
        <v>8.3745986434215575E-2</v>
      </c>
    </row>
    <row r="53" spans="1:43" x14ac:dyDescent="0.3">
      <c r="A53">
        <v>40</v>
      </c>
      <c r="B53">
        <v>0.4</v>
      </c>
      <c r="C53">
        <v>1E-3</v>
      </c>
      <c r="D53">
        <f t="shared" si="40"/>
        <v>0.999</v>
      </c>
      <c r="E53">
        <f t="shared" si="63"/>
        <v>6.324555320336759</v>
      </c>
      <c r="F53">
        <f t="shared" si="64"/>
        <v>39</v>
      </c>
      <c r="G53">
        <f t="shared" si="65"/>
        <v>0.52379778733526949</v>
      </c>
      <c r="H53">
        <f t="shared" si="66"/>
        <v>0.12379778733526947</v>
      </c>
      <c r="I53" s="2">
        <f>_xlfn.T.DIST.RT(E53*H53,F53)</f>
        <v>0.21918795324878237</v>
      </c>
      <c r="J53">
        <f>1-I53</f>
        <v>0.78081204675121763</v>
      </c>
      <c r="L53">
        <f>I53/C53</f>
        <v>219.18795324878238</v>
      </c>
      <c r="M53">
        <f t="shared" si="41"/>
        <v>2.340816681284279</v>
      </c>
      <c r="O53">
        <f>J53/D53</f>
        <v>0.78159364039160928</v>
      </c>
      <c r="P53">
        <f t="shared" si="42"/>
        <v>-0.1070189830073843</v>
      </c>
      <c r="R53" s="4">
        <f>_xlfn.T.DIST.RT(E53*(G53-0.2),F53)</f>
        <v>2.3674042570036167E-2</v>
      </c>
      <c r="S53">
        <f>R53*M53</f>
        <v>5.5416593761374804E-2</v>
      </c>
      <c r="T53">
        <f>(1-R53)*P53</f>
        <v>-0.1044854110478655</v>
      </c>
      <c r="U53" s="2">
        <f>_xlfn.T.DIST.RT(E53*(G53-0.4),F53)</f>
        <v>0.21918795324878237</v>
      </c>
      <c r="V53">
        <f>U53*M53</f>
        <v>0.51307881730130844</v>
      </c>
      <c r="W53">
        <f>(1-U53)*P53</f>
        <v>-8.356171116322951E-2</v>
      </c>
      <c r="X53" s="2">
        <f>_xlfn.T.DIST.RT(E53*(G53-0.8),F53)</f>
        <v>0.95573283402566922</v>
      </c>
      <c r="Y53">
        <f>X53*M53</f>
        <v>2.2371953607383857</v>
      </c>
      <c r="Z53">
        <f>(1-X53)*P53</f>
        <v>-4.7374270831919661E-3</v>
      </c>
      <c r="AB53">
        <f>C53*M53</f>
        <v>2.3408166812842789E-3</v>
      </c>
      <c r="AC53">
        <f>D53*P53</f>
        <v>-0.10691196402437692</v>
      </c>
      <c r="AD53">
        <f>(C53+0.01)*M53</f>
        <v>2.5748983494127069E-2</v>
      </c>
      <c r="AE53">
        <f>(D53-0.01)*P53</f>
        <v>-0.10584177419430307</v>
      </c>
      <c r="AF53">
        <f>(C53+0.05)*M53</f>
        <v>0.11938165074549824</v>
      </c>
      <c r="AG53">
        <f>(D53-0.05)*P53</f>
        <v>-0.10156101487400769</v>
      </c>
      <c r="AH53">
        <f>(C53+0.1)*M53</f>
        <v>0.2364224848097122</v>
      </c>
      <c r="AI53">
        <f>(D53-0.1)*P53</f>
        <v>-9.6210065723638494E-2</v>
      </c>
      <c r="AK53">
        <f>S53+T53</f>
        <v>-4.90688172864907E-2</v>
      </c>
      <c r="AL53">
        <f>V53+W53</f>
        <v>0.42951710613807892</v>
      </c>
      <c r="AM53">
        <f t="shared" si="43"/>
        <v>2.2324579336551937</v>
      </c>
      <c r="AN53">
        <f t="shared" si="44"/>
        <v>-0.10457114734309264</v>
      </c>
      <c r="AO53">
        <f t="shared" si="45"/>
        <v>-8.0092790700175998E-2</v>
      </c>
      <c r="AP53">
        <f t="shared" si="46"/>
        <v>1.7820635871490548E-2</v>
      </c>
      <c r="AQ53">
        <f t="shared" si="11"/>
        <v>0.14021241908607371</v>
      </c>
    </row>
    <row r="54" spans="1:43" x14ac:dyDescent="0.3">
      <c r="A54">
        <v>40</v>
      </c>
      <c r="B54">
        <v>0.4</v>
      </c>
      <c r="C54">
        <v>1E-4</v>
      </c>
      <c r="D54">
        <f t="shared" si="40"/>
        <v>0.99990000000000001</v>
      </c>
      <c r="E54">
        <f t="shared" si="63"/>
        <v>6.324555320336759</v>
      </c>
      <c r="F54">
        <f t="shared" si="64"/>
        <v>39</v>
      </c>
      <c r="G54">
        <f t="shared" si="65"/>
        <v>0.64900709181898564</v>
      </c>
      <c r="H54">
        <f t="shared" si="66"/>
        <v>0.24900709181898562</v>
      </c>
      <c r="I54" s="2">
        <f>_xlfn.T.DIST.RT(E54*H54,F54)</f>
        <v>6.1683646856605476E-2</v>
      </c>
      <c r="J54">
        <f>1-I54</f>
        <v>0.93831635314339457</v>
      </c>
      <c r="L54">
        <f>I54/C54</f>
        <v>616.83646856605469</v>
      </c>
      <c r="M54">
        <f t="shared" si="41"/>
        <v>2.7901700421323974</v>
      </c>
      <c r="O54">
        <f>J54/D54</f>
        <v>0.9384101941628108</v>
      </c>
      <c r="P54">
        <f t="shared" si="42"/>
        <v>-2.7607283027428008E-2</v>
      </c>
      <c r="R54" s="4">
        <f>_xlfn.T.DIST.RT(E54*(G54-0.2),F54)</f>
        <v>3.5682837339249449E-3</v>
      </c>
      <c r="S54">
        <f>R54*M54</f>
        <v>9.956118376225712E-3</v>
      </c>
      <c r="T54">
        <f>(1-R54)*P54</f>
        <v>-2.7508772408463375E-2</v>
      </c>
      <c r="U54" s="2">
        <f>_xlfn.T.DIST.RT(E54*(G54-0.4),F54)</f>
        <v>6.1683646856605476E-2</v>
      </c>
      <c r="V54">
        <f>U54*M54</f>
        <v>0.17210786354877483</v>
      </c>
      <c r="W54">
        <f>(1-U54)*P54</f>
        <v>-2.5904365130493781E-2</v>
      </c>
      <c r="X54" s="2">
        <f>_xlfn.T.DIST.RT(E54*(G54-0.8),F54)</f>
        <v>0.82726073909107112</v>
      </c>
      <c r="Y54">
        <f>X54*M54</f>
        <v>2.3081981312442119</v>
      </c>
      <c r="Z54">
        <f>(1-X54)*P54</f>
        <v>-4.768861665861531E-3</v>
      </c>
      <c r="AB54">
        <f>C54*M54</f>
        <v>2.7901700421323973E-4</v>
      </c>
      <c r="AC54">
        <f>D54*P54</f>
        <v>-2.7604522299125266E-2</v>
      </c>
      <c r="AD54">
        <f>(C54+0.01)*M54</f>
        <v>2.8180717425537214E-2</v>
      </c>
      <c r="AE54">
        <f>(D54-0.01)*P54</f>
        <v>-2.7328449468850984E-2</v>
      </c>
      <c r="AF54">
        <f>(C54+0.05)*M54</f>
        <v>0.13978751911083312</v>
      </c>
      <c r="AG54">
        <f>(D54-0.05)*P54</f>
        <v>-2.6224158147753862E-2</v>
      </c>
      <c r="AH54">
        <f>(C54+0.1)*M54</f>
        <v>0.27929602121745301</v>
      </c>
      <c r="AI54">
        <f>(D54-0.1)*P54</f>
        <v>-2.4843793996382466E-2</v>
      </c>
      <c r="AK54">
        <f>S54+T54</f>
        <v>-1.7552654032237665E-2</v>
      </c>
      <c r="AL54">
        <f>V54+W54</f>
        <v>0.14620349841828106</v>
      </c>
      <c r="AM54">
        <f t="shared" si="43"/>
        <v>2.3034292695783503</v>
      </c>
      <c r="AN54">
        <f t="shared" si="44"/>
        <v>-2.7325505294912025E-2</v>
      </c>
      <c r="AO54">
        <f t="shared" si="45"/>
        <v>8.5226795668623054E-4</v>
      </c>
      <c r="AP54">
        <f t="shared" si="46"/>
        <v>0.11356336096307926</v>
      </c>
      <c r="AQ54">
        <f t="shared" si="11"/>
        <v>0.25445222722107053</v>
      </c>
    </row>
    <row r="55" spans="1:43" x14ac:dyDescent="0.3">
      <c r="A55">
        <v>40</v>
      </c>
      <c r="B55">
        <v>0.4</v>
      </c>
      <c r="C55">
        <v>1.0000000000000001E-5</v>
      </c>
      <c r="D55">
        <f t="shared" si="40"/>
        <v>0.99999000000000005</v>
      </c>
      <c r="E55">
        <f t="shared" si="63"/>
        <v>6.324555320336759</v>
      </c>
      <c r="F55">
        <f t="shared" si="64"/>
        <v>39</v>
      </c>
      <c r="G55">
        <f t="shared" si="65"/>
        <v>0.76706016923266507</v>
      </c>
      <c r="H55">
        <f t="shared" si="66"/>
        <v>0.36706016923266505</v>
      </c>
      <c r="I55" s="2">
        <f>_xlfn.T.DIST.RT(E55*H55,F55)</f>
        <v>1.2787999111442253E-2</v>
      </c>
      <c r="J55">
        <f>1-I55</f>
        <v>0.98721200088855776</v>
      </c>
      <c r="L55">
        <f>I55/C55</f>
        <v>1278.7999111442252</v>
      </c>
      <c r="M55">
        <f t="shared" si="41"/>
        <v>3.1068025974232554</v>
      </c>
      <c r="O55">
        <f>J55/D55</f>
        <v>0.98722187310728882</v>
      </c>
      <c r="P55">
        <f t="shared" si="42"/>
        <v>-5.5852308791461795E-3</v>
      </c>
      <c r="R55" s="4">
        <f>_xlfn.T.DIST.RT(E55*(G55-0.2),F55)</f>
        <v>4.61006563344459E-4</v>
      </c>
      <c r="S55">
        <f>R55*M55</f>
        <v>1.4322563884277338E-3</v>
      </c>
      <c r="T55">
        <f>(1-R55)*P55</f>
        <v>-5.5826560510530993E-3</v>
      </c>
      <c r="U55" s="2">
        <f>_xlfn.T.DIST.RT(E55*(G55-0.4),F55)</f>
        <v>1.2787999111442253E-2</v>
      </c>
      <c r="V55">
        <f>U55*M55</f>
        <v>3.9729788855275075E-2</v>
      </c>
      <c r="W55">
        <f>(1-U55)*P55</f>
        <v>-5.5138069516264586E-3</v>
      </c>
      <c r="X55" s="2">
        <f>_xlfn.T.DIST.RT(E55*(G55-0.8),F55)</f>
        <v>0.58197215704559857</v>
      </c>
      <c r="Y55">
        <f>X55*M55</f>
        <v>1.8080726091372803</v>
      </c>
      <c r="Z55">
        <f>(1-X55)*P55</f>
        <v>-2.3347820168117925E-3</v>
      </c>
      <c r="AB55">
        <f>C55*M55</f>
        <v>3.1068025974232559E-5</v>
      </c>
      <c r="AC55">
        <f>D55*P55</f>
        <v>-5.5851750268373886E-3</v>
      </c>
      <c r="AD55">
        <f>(C55+0.01)*M55</f>
        <v>3.1099094000206787E-2</v>
      </c>
      <c r="AE55">
        <f>(D55-0.01)*P55</f>
        <v>-5.5293227180459262E-3</v>
      </c>
      <c r="AF55">
        <f>(C55+0.05)*M55</f>
        <v>0.15537119789713702</v>
      </c>
      <c r="AG55">
        <f>(D55-0.05)*P55</f>
        <v>-5.3059134828800794E-3</v>
      </c>
      <c r="AH55">
        <f>(C55+0.1)*M55</f>
        <v>0.31071132776829979</v>
      </c>
      <c r="AI55">
        <f>(D55-0.1)*P55</f>
        <v>-5.0266519389227703E-3</v>
      </c>
      <c r="AK55">
        <f>S55+T55</f>
        <v>-4.1503996626253651E-3</v>
      </c>
      <c r="AL55">
        <f>V55+W55</f>
        <v>3.4215981903648614E-2</v>
      </c>
      <c r="AM55">
        <f t="shared" si="43"/>
        <v>1.8057378271204685</v>
      </c>
      <c r="AN55">
        <f t="shared" si="44"/>
        <v>-5.5541070008631559E-3</v>
      </c>
      <c r="AO55">
        <f t="shared" si="45"/>
        <v>2.5569771282160862E-2</v>
      </c>
      <c r="AP55">
        <f t="shared" si="46"/>
        <v>0.15006528441425693</v>
      </c>
      <c r="AQ55">
        <f t="shared" si="11"/>
        <v>0.30568467582937703</v>
      </c>
    </row>
    <row r="56" spans="1:43" x14ac:dyDescent="0.3">
      <c r="A56">
        <v>40</v>
      </c>
      <c r="B56">
        <v>0.4</v>
      </c>
      <c r="C56">
        <v>9.9999999999999995E-7</v>
      </c>
      <c r="D56">
        <f t="shared" si="40"/>
        <v>0.99999899999999997</v>
      </c>
      <c r="E56">
        <f t="shared" si="63"/>
        <v>6.324555320336759</v>
      </c>
      <c r="F56">
        <f t="shared" si="64"/>
        <v>39</v>
      </c>
      <c r="G56">
        <f t="shared" si="65"/>
        <v>0.88186186626487206</v>
      </c>
      <c r="H56">
        <f t="shared" si="66"/>
        <v>0.48186186626487204</v>
      </c>
      <c r="I56" s="2">
        <f>_xlfn.T.DIST.RT(E56*H56,F56)</f>
        <v>2.0638959369279042E-3</v>
      </c>
      <c r="J56">
        <f>1-I56</f>
        <v>0.99793610406307209</v>
      </c>
      <c r="L56">
        <f>I56/C56</f>
        <v>2063.8959369279041</v>
      </c>
      <c r="M56">
        <f t="shared" si="41"/>
        <v>3.3146877960766279</v>
      </c>
      <c r="O56">
        <f>J56/D56</f>
        <v>0.99793710200017416</v>
      </c>
      <c r="P56">
        <f t="shared" si="42"/>
        <v>-8.968305714202149E-4</v>
      </c>
      <c r="R56" s="4">
        <f>_xlfn.T.DIST.RT(E56*(G56-0.2),F56)</f>
        <v>5.3206931503954448E-5</v>
      </c>
      <c r="S56">
        <f>R56*M56</f>
        <v>1.7636436652284287E-4</v>
      </c>
      <c r="T56">
        <f>(1-R56)*P56</f>
        <v>-8.9678285381743076E-4</v>
      </c>
      <c r="U56" s="2">
        <f>_xlfn.T.DIST.RT(E56*(G56-0.4),F56)</f>
        <v>2.0638959369279042E-3</v>
      </c>
      <c r="V56">
        <f>U56*M56</f>
        <v>6.8411706745070619E-3</v>
      </c>
      <c r="W56">
        <f>(1-U56)*P56</f>
        <v>-8.9497960644774799E-4</v>
      </c>
      <c r="X56" s="2">
        <f>_xlfn.T.DIST.RT(E56*(G56-0.8),F56)</f>
        <v>0.30378218158447529</v>
      </c>
      <c r="Y56">
        <f>X56*M56</f>
        <v>1.0069430899635943</v>
      </c>
      <c r="Z56">
        <f>(1-X56)*P56</f>
        <v>-6.2438942392253048E-4</v>
      </c>
      <c r="AB56">
        <f>C56*M56</f>
        <v>3.3146877960766277E-6</v>
      </c>
      <c r="AC56">
        <f>D56*P56</f>
        <v>-8.9682967458964351E-4</v>
      </c>
      <c r="AD56">
        <f>(C56+0.01)*M56</f>
        <v>3.3150192648562352E-2</v>
      </c>
      <c r="AE56">
        <f>(D56-0.01)*P56</f>
        <v>-8.8786136887544125E-4</v>
      </c>
      <c r="AF56">
        <f>(C56+0.05)*M56</f>
        <v>0.16573770449162747</v>
      </c>
      <c r="AG56">
        <f>(D56-0.05)*P56</f>
        <v>-8.5198814601863265E-4</v>
      </c>
      <c r="AH56">
        <f>(C56+0.1)*M56</f>
        <v>0.33147209429545887</v>
      </c>
      <c r="AI56">
        <f>(D56-0.1)*P56</f>
        <v>-8.0714661744762202E-4</v>
      </c>
      <c r="AK56">
        <f>S56+T56</f>
        <v>-7.2041848729458794E-4</v>
      </c>
      <c r="AL56">
        <f>V56+W56</f>
        <v>5.9461910680593142E-3</v>
      </c>
      <c r="AM56">
        <f t="shared" si="43"/>
        <v>1.0063187005396717</v>
      </c>
      <c r="AN56">
        <f t="shared" si="44"/>
        <v>-8.9351498679356687E-4</v>
      </c>
      <c r="AO56">
        <f t="shared" si="45"/>
        <v>3.2262331279686911E-2</v>
      </c>
      <c r="AP56">
        <f t="shared" si="46"/>
        <v>0.16488571634560883</v>
      </c>
      <c r="AQ56">
        <f t="shared" si="11"/>
        <v>0.33066494767801125</v>
      </c>
    </row>
    <row r="57" spans="1:43" x14ac:dyDescent="0.3">
      <c r="A57">
        <v>40</v>
      </c>
      <c r="B57">
        <v>0.4</v>
      </c>
      <c r="C57">
        <v>9.9999999999999995E-8</v>
      </c>
      <c r="D57">
        <f t="shared" si="40"/>
        <v>0.99999990000000005</v>
      </c>
      <c r="E57">
        <f t="shared" si="63"/>
        <v>6.324555320336759</v>
      </c>
      <c r="F57">
        <f t="shared" si="64"/>
        <v>39</v>
      </c>
      <c r="G57">
        <f t="shared" si="65"/>
        <v>0.99573764004556464</v>
      </c>
      <c r="H57">
        <f t="shared" si="66"/>
        <v>0.59573764004556462</v>
      </c>
      <c r="I57" s="2">
        <f>_xlfn.T.DIST.RT(E57*H57,F57)</f>
        <v>2.7230829694647893E-4</v>
      </c>
      <c r="J57">
        <f>1-I57</f>
        <v>0.99972769170305353</v>
      </c>
      <c r="L57">
        <f>I57/C57</f>
        <v>2723.0829694647896</v>
      </c>
      <c r="M57">
        <f t="shared" si="41"/>
        <v>3.4350608740361719</v>
      </c>
      <c r="O57">
        <f>J57/D57</f>
        <v>0.9997277916758327</v>
      </c>
      <c r="P57">
        <f t="shared" si="42"/>
        <v>-1.1823466607431786E-4</v>
      </c>
      <c r="R57" s="4">
        <f>_xlfn.T.DIST.RT(E57*(G57-0.2),F57)</f>
        <v>5.6480588024308421E-6</v>
      </c>
      <c r="S57">
        <f>R57*M57</f>
        <v>1.9401425806485784E-5</v>
      </c>
      <c r="T57">
        <f>(1-R57)*P57</f>
        <v>-1.1823399827797139E-4</v>
      </c>
      <c r="U57" s="2">
        <f>_xlfn.T.DIST.RT(E57*(G57-0.4),F57)</f>
        <v>2.7230829694647893E-4</v>
      </c>
      <c r="V57">
        <f>U57*M57</f>
        <v>9.353955765162733E-4</v>
      </c>
      <c r="W57">
        <f>(1-U57)*P57</f>
        <v>-1.1820246979375913E-4</v>
      </c>
      <c r="X57" s="2">
        <f>_xlfn.T.DIST.RT(E57*(G57-0.8),F57)</f>
        <v>0.11156708793092708</v>
      </c>
      <c r="Y57">
        <f>X57*M57</f>
        <v>0.38323973858168081</v>
      </c>
      <c r="Z57">
        <f>(1-X57)*P57</f>
        <v>-1.0504356868792064E-4</v>
      </c>
      <c r="AB57">
        <f>C57*M57</f>
        <v>3.4350608740361716E-7</v>
      </c>
      <c r="AC57">
        <f>D57*P57</f>
        <v>-1.1823465425085126E-4</v>
      </c>
      <c r="AD57">
        <f>(C57+0.01)*M57</f>
        <v>3.4350952246449122E-2</v>
      </c>
      <c r="AE57">
        <f>(D57-0.01)*P57</f>
        <v>-1.1705230759010808E-4</v>
      </c>
      <c r="AF57">
        <f>(C57+0.05)*M57</f>
        <v>0.17175338720789601</v>
      </c>
      <c r="AG57">
        <f>(D57-0.05)*P57</f>
        <v>-1.1232292094713536E-4</v>
      </c>
      <c r="AH57">
        <f>(C57+0.1)*M57</f>
        <v>0.34350643090970462</v>
      </c>
      <c r="AI57">
        <f>(D57-0.1)*P57</f>
        <v>-1.0641118764341947E-4</v>
      </c>
      <c r="AK57">
        <f>S57+T57</f>
        <v>-9.8832572471485599E-5</v>
      </c>
      <c r="AL57">
        <f>V57+W57</f>
        <v>8.171931067225142E-4</v>
      </c>
      <c r="AM57">
        <f t="shared" si="43"/>
        <v>0.38313469501299291</v>
      </c>
      <c r="AN57">
        <f t="shared" si="44"/>
        <v>-1.1789114816344764E-4</v>
      </c>
      <c r="AO57">
        <f t="shared" si="45"/>
        <v>3.4233899938859016E-2</v>
      </c>
      <c r="AP57">
        <f t="shared" si="46"/>
        <v>0.17164106428694889</v>
      </c>
      <c r="AQ57">
        <f t="shared" si="11"/>
        <v>0.34340001972206119</v>
      </c>
    </row>
    <row r="58" spans="1:43" x14ac:dyDescent="0.3">
      <c r="A58">
        <v>80</v>
      </c>
      <c r="B58">
        <v>0.4</v>
      </c>
      <c r="C58">
        <v>0.5</v>
      </c>
      <c r="D58">
        <f t="shared" ref="D58:D85" si="79">1-C58</f>
        <v>0.5</v>
      </c>
      <c r="E58">
        <f t="shared" si="63"/>
        <v>8.9442719099991592</v>
      </c>
      <c r="F58">
        <f t="shared" si="64"/>
        <v>79</v>
      </c>
      <c r="G58">
        <f t="shared" si="65"/>
        <v>0</v>
      </c>
      <c r="H58">
        <f t="shared" si="66"/>
        <v>-0.4</v>
      </c>
      <c r="I58" s="2">
        <f>_xlfn.T.DIST.RT(E58*H58,F58)</f>
        <v>0.9997021053021008</v>
      </c>
      <c r="J58">
        <f>1-I58</f>
        <v>2.9789469789920364E-4</v>
      </c>
      <c r="L58">
        <f>I58/C58</f>
        <v>1.9994042106042016</v>
      </c>
      <c r="M58">
        <f t="shared" ref="M58:M85" si="80">LOG10(L58)</f>
        <v>0.3009006023667497</v>
      </c>
      <c r="O58">
        <f>J58/D58</f>
        <v>5.9578939579840728E-4</v>
      </c>
      <c r="P58">
        <f t="shared" ref="P58:P85" si="81">LOG10(O58)</f>
        <v>-3.2249072308746185</v>
      </c>
      <c r="R58" s="4">
        <f>_xlfn.T.DIST.RT(E58*(G58-0.2),F58)</f>
        <v>0.96126423894019108</v>
      </c>
      <c r="S58">
        <f>R58*M58</f>
        <v>0.28924498853071873</v>
      </c>
      <c r="T58">
        <f>(1-R58)*P58</f>
        <v>-0.12491923593520925</v>
      </c>
      <c r="U58" s="2">
        <f>_xlfn.T.DIST.RT(E58*(G58-0.4),F58)</f>
        <v>0.9997021053021008</v>
      </c>
      <c r="V58">
        <f>U58*M58</f>
        <v>0.30081096567270998</v>
      </c>
      <c r="W58">
        <f>(1-U58)*P58</f>
        <v>-9.606827652943519E-4</v>
      </c>
      <c r="X58" s="2">
        <f>_xlfn.T.DIST.RT(E58*(G58-0.8),F58)</f>
        <v>0.99999999981180487</v>
      </c>
      <c r="Y58">
        <f>X58*M58</f>
        <v>0.30090060231012167</v>
      </c>
      <c r="Z58">
        <f>(1-X58)*P58</f>
        <v>-6.0691182313500404E-10</v>
      </c>
      <c r="AB58">
        <f>C58*M58</f>
        <v>0.15045030118337485</v>
      </c>
      <c r="AC58">
        <f>D58*P58</f>
        <v>-1.6124536154373093</v>
      </c>
      <c r="AD58">
        <f>(C58+0.01)*M58</f>
        <v>0.15345930720704234</v>
      </c>
      <c r="AE58">
        <f>(D58-0.01)*P58</f>
        <v>-1.580204543128563</v>
      </c>
      <c r="AF58">
        <f>(C58+0.05)*M58</f>
        <v>0.16549533130171235</v>
      </c>
      <c r="AG58">
        <f>(D58-0.05)*P58</f>
        <v>-1.4512082538935784</v>
      </c>
      <c r="AH58">
        <f>(C58+0.1)*M58</f>
        <v>0.18054036142004981</v>
      </c>
      <c r="AI58">
        <f>(D58-0.1)*P58</f>
        <v>-1.2899628923498474</v>
      </c>
      <c r="AK58">
        <f>S58+T58</f>
        <v>0.16432575259550947</v>
      </c>
      <c r="AL58">
        <f>V58+W58</f>
        <v>0.29985028290741561</v>
      </c>
      <c r="AM58">
        <f t="shared" ref="AM58:AM85" si="82">Y58+Z58</f>
        <v>0.30090060170320987</v>
      </c>
      <c r="AN58">
        <f t="shared" ref="AN58:AN85" si="83">AB58+AC58</f>
        <v>-1.4620033142539344</v>
      </c>
      <c r="AO58">
        <f t="shared" ref="AO58:AO85" si="84">AD58+AE58</f>
        <v>-1.4267452359215207</v>
      </c>
      <c r="AP58">
        <f t="shared" ref="AP58:AP85" si="85">AF58+AG58</f>
        <v>-1.2857129225918662</v>
      </c>
      <c r="AQ58">
        <f t="shared" si="11"/>
        <v>-1.1094225309297976</v>
      </c>
    </row>
    <row r="59" spans="1:43" x14ac:dyDescent="0.3">
      <c r="A59">
        <v>80</v>
      </c>
      <c r="B59">
        <v>0.4</v>
      </c>
      <c r="C59">
        <v>0.2</v>
      </c>
      <c r="D59">
        <f t="shared" si="79"/>
        <v>0.8</v>
      </c>
      <c r="E59">
        <f t="shared" si="63"/>
        <v>8.9442719099991592</v>
      </c>
      <c r="F59">
        <f t="shared" si="64"/>
        <v>79</v>
      </c>
      <c r="G59">
        <f t="shared" si="65"/>
        <v>9.4607455925570433E-2</v>
      </c>
      <c r="H59">
        <f t="shared" si="66"/>
        <v>-0.30539254407442962</v>
      </c>
      <c r="I59" s="2">
        <f>_xlfn.T.DIST.RT(E59*H59,F59)</f>
        <v>0.99611322463080243</v>
      </c>
      <c r="J59">
        <f>1-I59</f>
        <v>3.8867753691975704E-3</v>
      </c>
      <c r="L59">
        <f>I59/C59</f>
        <v>4.9805661231540119</v>
      </c>
      <c r="M59">
        <f t="shared" si="80"/>
        <v>0.69727871026736521</v>
      </c>
      <c r="O59">
        <f>J59/D59</f>
        <v>4.858469211496963E-3</v>
      </c>
      <c r="P59">
        <f t="shared" si="81"/>
        <v>-2.3135005450838468</v>
      </c>
      <c r="R59" s="4">
        <f>_xlfn.T.DIST.RT(E59*(G59-0.2),F59)</f>
        <v>0.82563553447006699</v>
      </c>
      <c r="S59">
        <f>R59*M59</f>
        <v>0.5756980806261951</v>
      </c>
      <c r="T59">
        <f>(1-R59)*P59</f>
        <v>-0.40339228604675365</v>
      </c>
      <c r="U59" s="2">
        <f>_xlfn.T.DIST.RT(E59*(G59-0.4),F59)</f>
        <v>0.99611322463080243</v>
      </c>
      <c r="V59">
        <f>U59*M59</f>
        <v>0.69456854455083217</v>
      </c>
      <c r="W59">
        <f>(1-U59)*P59</f>
        <v>-8.9920569352570489E-3</v>
      </c>
      <c r="X59" s="2">
        <f>_xlfn.T.DIST.RT(E59*(G59-0.8),F59)</f>
        <v>0.99999999244546456</v>
      </c>
      <c r="Y59">
        <f>X59*M59</f>
        <v>0.69727870499974853</v>
      </c>
      <c r="Z59">
        <f>(1-X59)*P59</f>
        <v>-1.7477421862126823E-8</v>
      </c>
      <c r="AB59">
        <f>C59*M59</f>
        <v>0.13945574205347305</v>
      </c>
      <c r="AC59">
        <f>D59*P59</f>
        <v>-1.8508004360670776</v>
      </c>
      <c r="AD59">
        <f>(C59+0.01)*M59</f>
        <v>0.14642852915614671</v>
      </c>
      <c r="AE59">
        <f>(D59-0.01)*P59</f>
        <v>-1.827665430616239</v>
      </c>
      <c r="AF59">
        <f>(C59+0.05)*M59</f>
        <v>0.1743196775668413</v>
      </c>
      <c r="AG59">
        <f>(D59-0.05)*P59</f>
        <v>-1.7351254088128851</v>
      </c>
      <c r="AH59">
        <f>(C59+0.1)*M59</f>
        <v>0.20918361308020961</v>
      </c>
      <c r="AI59">
        <f>(D59-0.1)*P59</f>
        <v>-1.6194503815586929</v>
      </c>
      <c r="AK59">
        <f>S59+T59</f>
        <v>0.17230579457944145</v>
      </c>
      <c r="AL59">
        <f>V59+W59</f>
        <v>0.6855764876155751</v>
      </c>
      <c r="AM59">
        <f t="shared" si="82"/>
        <v>0.69727868752232669</v>
      </c>
      <c r="AN59">
        <f t="shared" si="83"/>
        <v>-1.7113446940136046</v>
      </c>
      <c r="AO59">
        <f t="shared" si="84"/>
        <v>-1.6812369014600923</v>
      </c>
      <c r="AP59">
        <f t="shared" si="85"/>
        <v>-1.5608057312460439</v>
      </c>
      <c r="AQ59">
        <f t="shared" ref="AQ59:AQ101" si="86">AH59+AI59</f>
        <v>-1.4102667684784833</v>
      </c>
    </row>
    <row r="60" spans="1:43" x14ac:dyDescent="0.3">
      <c r="A60">
        <v>80</v>
      </c>
      <c r="B60">
        <v>0.4</v>
      </c>
      <c r="C60">
        <v>0.1</v>
      </c>
      <c r="D60">
        <f t="shared" si="79"/>
        <v>0.9</v>
      </c>
      <c r="E60">
        <f t="shared" si="63"/>
        <v>8.9442719099991592</v>
      </c>
      <c r="F60">
        <f t="shared" si="64"/>
        <v>79</v>
      </c>
      <c r="G60">
        <f t="shared" si="65"/>
        <v>0.1444902213841083</v>
      </c>
      <c r="H60">
        <f t="shared" si="66"/>
        <v>-0.25550977861589175</v>
      </c>
      <c r="I60" s="2">
        <f>_xlfn.T.DIST.RT(E60*H60,F60)</f>
        <v>0.98751301086595211</v>
      </c>
      <c r="J60">
        <f>1-I60</f>
        <v>1.2486989134047888E-2</v>
      </c>
      <c r="L60">
        <f>I60/C60</f>
        <v>9.8751301086595209</v>
      </c>
      <c r="M60">
        <f t="shared" si="80"/>
        <v>0.99454282633400526</v>
      </c>
      <c r="O60">
        <f>J60/D60</f>
        <v>1.3874432371164319E-2</v>
      </c>
      <c r="P60">
        <f t="shared" si="81"/>
        <v>-1.8577847756369108</v>
      </c>
      <c r="R60" s="4">
        <f>_xlfn.T.DIST.RT(E60*(G60-0.2),F60)</f>
        <v>0.68953787476986084</v>
      </c>
      <c r="S60">
        <f>R60*M60</f>
        <v>0.68577494683796081</v>
      </c>
      <c r="T60">
        <f>(1-R60)*P60</f>
        <v>-0.57677180966443264</v>
      </c>
      <c r="U60" s="2">
        <f>_xlfn.T.DIST.RT(E60*(G60-0.4),F60)</f>
        <v>0.98751301086595211</v>
      </c>
      <c r="V60">
        <f>U60*M60</f>
        <v>0.98212398086822728</v>
      </c>
      <c r="W60">
        <f>(1-U60)*P60</f>
        <v>-2.3198138306777697E-2</v>
      </c>
      <c r="X60" s="2">
        <f>_xlfn.T.DIST.RT(E60*(G60-0.8),F60)</f>
        <v>0.99999994975899653</v>
      </c>
      <c r="Y60">
        <f>X60*M60</f>
        <v>0.9945427763671757</v>
      </c>
      <c r="Z60">
        <f>(1-X60)*P60</f>
        <v>-9.3336971356724774E-8</v>
      </c>
      <c r="AB60">
        <f>C60*M60</f>
        <v>9.9454282633400531E-2</v>
      </c>
      <c r="AC60">
        <f>D60*P60</f>
        <v>-1.6720062980732198</v>
      </c>
      <c r="AD60">
        <f>(C60+0.01)*M60</f>
        <v>0.10939971089674058</v>
      </c>
      <c r="AE60">
        <f>(D60-0.01)*P60</f>
        <v>-1.6534284503168506</v>
      </c>
      <c r="AF60">
        <f>(C60+0.05)*M60</f>
        <v>0.14918142395010081</v>
      </c>
      <c r="AG60">
        <f>(D60-0.05)*P60</f>
        <v>-1.5791170592913741</v>
      </c>
      <c r="AH60">
        <f>(C60+0.1)*M60</f>
        <v>0.19890856526680106</v>
      </c>
      <c r="AI60">
        <f>(D60-0.1)*P60</f>
        <v>-1.4862278205095287</v>
      </c>
      <c r="AK60">
        <f>S60+T60</f>
        <v>0.10900313717352816</v>
      </c>
      <c r="AL60">
        <f>V60+W60</f>
        <v>0.95892584256144953</v>
      </c>
      <c r="AM60">
        <f t="shared" si="82"/>
        <v>0.99454268303020432</v>
      </c>
      <c r="AN60">
        <f t="shared" si="83"/>
        <v>-1.5725520154398192</v>
      </c>
      <c r="AO60">
        <f t="shared" si="84"/>
        <v>-1.54402873942011</v>
      </c>
      <c r="AP60">
        <f t="shared" si="85"/>
        <v>-1.4299356353412733</v>
      </c>
      <c r="AQ60">
        <f t="shared" si="86"/>
        <v>-1.2873192552427277</v>
      </c>
    </row>
    <row r="61" spans="1:43" x14ac:dyDescent="0.3">
      <c r="A61">
        <v>80</v>
      </c>
      <c r="B61">
        <v>0.4</v>
      </c>
      <c r="C61">
        <v>0.05</v>
      </c>
      <c r="D61">
        <f t="shared" si="79"/>
        <v>0.95</v>
      </c>
      <c r="E61">
        <f t="shared" si="63"/>
        <v>8.9442719099991592</v>
      </c>
      <c r="F61">
        <f t="shared" si="64"/>
        <v>79</v>
      </c>
      <c r="G61">
        <f t="shared" si="65"/>
        <v>0.18608238053182208</v>
      </c>
      <c r="H61">
        <f t="shared" si="66"/>
        <v>-0.21391761946817794</v>
      </c>
      <c r="I61" s="2">
        <f>_xlfn.T.DIST.RT(E61*H61,F61)</f>
        <v>0.9703361335465408</v>
      </c>
      <c r="J61">
        <f>1-I61</f>
        <v>2.9663866453459198E-2</v>
      </c>
      <c r="L61">
        <f>I61/C61</f>
        <v>19.406722670930815</v>
      </c>
      <c r="M61">
        <f t="shared" si="80"/>
        <v>1.287952199679649</v>
      </c>
      <c r="O61">
        <f>J61/D61</f>
        <v>3.1225122582588631E-2</v>
      </c>
      <c r="P61">
        <f t="shared" si="81"/>
        <v>-1.5054958480110783</v>
      </c>
      <c r="R61" s="4">
        <f>_xlfn.T.DIST.RT(E61*(G61-0.2),F61)</f>
        <v>0.54937545628577333</v>
      </c>
      <c r="S61">
        <f>R61*M61</f>
        <v>0.70756932737327261</v>
      </c>
      <c r="T61">
        <f>(1-R61)*P61</f>
        <v>-0.67841337957365488</v>
      </c>
      <c r="U61" s="2">
        <f>_xlfn.T.DIST.RT(E61*(G61-0.4),F61)</f>
        <v>0.9703361335465408</v>
      </c>
      <c r="V61">
        <f>U61*M61</f>
        <v>1.2497465576299129</v>
      </c>
      <c r="W61">
        <f>(1-U61)*P61</f>
        <v>-4.4658827781637933E-2</v>
      </c>
      <c r="X61" s="2">
        <f>_xlfn.T.DIST.RT(E61*(G61-0.8),F61)</f>
        <v>0.99999976499253895</v>
      </c>
      <c r="Y61">
        <f>X61*M61</f>
        <v>1.2879518970012727</v>
      </c>
      <c r="Z61">
        <f>(1-X61)*P61</f>
        <v>-3.5380275685769799E-7</v>
      </c>
      <c r="AB61">
        <f>C61*M61</f>
        <v>6.439760998398246E-2</v>
      </c>
      <c r="AC61">
        <f>D61*P61</f>
        <v>-1.4302210556105244</v>
      </c>
      <c r="AD61">
        <f>(C61+0.01)*M61</f>
        <v>7.7277131980778943E-2</v>
      </c>
      <c r="AE61">
        <f>(D61-0.01)*P61</f>
        <v>-1.4151660971304134</v>
      </c>
      <c r="AF61">
        <f>(C61+0.05)*M61</f>
        <v>0.12879521996796492</v>
      </c>
      <c r="AG61">
        <f>(D61-0.05)*P61</f>
        <v>-1.3549462632099702</v>
      </c>
      <c r="AH61">
        <f>(C61+0.1)*M61</f>
        <v>0.19319282995194739</v>
      </c>
      <c r="AI61">
        <f>(D61-0.1)*P61</f>
        <v>-1.2796714708094166</v>
      </c>
      <c r="AK61">
        <f>S61+T61</f>
        <v>2.9155947799617721E-2</v>
      </c>
      <c r="AL61">
        <f>V61+W61</f>
        <v>1.2050877298482749</v>
      </c>
      <c r="AM61">
        <f t="shared" si="82"/>
        <v>1.2879515431985158</v>
      </c>
      <c r="AN61">
        <f t="shared" si="83"/>
        <v>-1.3658234456265419</v>
      </c>
      <c r="AO61">
        <f t="shared" si="84"/>
        <v>-1.3378889651496344</v>
      </c>
      <c r="AP61">
        <f t="shared" si="85"/>
        <v>-1.2261510432420053</v>
      </c>
      <c r="AQ61">
        <f t="shared" si="86"/>
        <v>-1.0864786408574691</v>
      </c>
    </row>
    <row r="62" spans="1:43" x14ac:dyDescent="0.3">
      <c r="A62">
        <v>80</v>
      </c>
      <c r="B62">
        <v>0.4</v>
      </c>
      <c r="C62">
        <v>0.02</v>
      </c>
      <c r="D62">
        <f t="shared" si="79"/>
        <v>0.98</v>
      </c>
      <c r="E62">
        <f t="shared" si="63"/>
        <v>8.9442719099991592</v>
      </c>
      <c r="F62">
        <f t="shared" si="64"/>
        <v>79</v>
      </c>
      <c r="G62">
        <f t="shared" si="65"/>
        <v>0.23346945954831927</v>
      </c>
      <c r="H62">
        <f t="shared" si="66"/>
        <v>-0.16653054045168075</v>
      </c>
      <c r="I62" s="2">
        <f>_xlfn.T.DIST.RT(E62*H62,F62)</f>
        <v>0.92983058025273135</v>
      </c>
      <c r="J62">
        <f>1-I62</f>
        <v>7.0169419747268647E-2</v>
      </c>
      <c r="L62">
        <f>I62/C62</f>
        <v>46.491529012636569</v>
      </c>
      <c r="M62">
        <f t="shared" si="80"/>
        <v>1.6673738294876947</v>
      </c>
      <c r="O62">
        <f>J62/D62</f>
        <v>7.1601448721702696E-2</v>
      </c>
      <c r="P62">
        <f t="shared" si="81"/>
        <v>-1.1450781904648233</v>
      </c>
      <c r="R62" s="4">
        <f>_xlfn.T.DIST.RT(E62*(G62-0.2),F62)</f>
        <v>0.38272579192123235</v>
      </c>
      <c r="S62">
        <f>R62*M62</f>
        <v>0.63814696931941584</v>
      </c>
      <c r="T62">
        <f>(1-R62)*P62</f>
        <v>-0.70682723320744212</v>
      </c>
      <c r="U62" s="2">
        <f>_xlfn.T.DIST.RT(E62*(G62-0.4),F62)</f>
        <v>0.92983058025273135</v>
      </c>
      <c r="V62">
        <f>U62*M62</f>
        <v>1.550375175370762</v>
      </c>
      <c r="W62">
        <f>(1-U62)*P62</f>
        <v>-8.0349472190169025E-2</v>
      </c>
      <c r="X62" s="2">
        <f>_xlfn.T.DIST.RT(E62*(G62-0.8),F62)</f>
        <v>0.99999870310624472</v>
      </c>
      <c r="Y62">
        <f>X62*M62</f>
        <v>1.6673716670809875</v>
      </c>
      <c r="Z62">
        <f>(1-X62)*P62</f>
        <v>-1.4850447545165418E-6</v>
      </c>
      <c r="AB62">
        <f>C62*M62</f>
        <v>3.3347476589753892E-2</v>
      </c>
      <c r="AC62">
        <f>D62*P62</f>
        <v>-1.1221766266555269</v>
      </c>
      <c r="AD62">
        <f>(C62+0.01)*M62</f>
        <v>5.0021214884630842E-2</v>
      </c>
      <c r="AE62">
        <f>(D62-0.01)*P62</f>
        <v>-1.1107258447508785</v>
      </c>
      <c r="AF62">
        <f>(C62+0.05)*M62</f>
        <v>0.11671616806413865</v>
      </c>
      <c r="AG62">
        <f>(D62-0.05)*P62</f>
        <v>-1.0649227171322855</v>
      </c>
      <c r="AH62">
        <f>(C62+0.1)*M62</f>
        <v>0.2000848595385234</v>
      </c>
      <c r="AI62">
        <f>(D62-0.1)*P62</f>
        <v>-1.0076688076090445</v>
      </c>
      <c r="AK62">
        <f>S62+T62</f>
        <v>-6.8680263888026283E-2</v>
      </c>
      <c r="AL62">
        <f>V62+W62</f>
        <v>1.470025703180593</v>
      </c>
      <c r="AM62">
        <f t="shared" si="82"/>
        <v>1.667370182036233</v>
      </c>
      <c r="AN62">
        <f t="shared" si="83"/>
        <v>-1.088829150065773</v>
      </c>
      <c r="AO62">
        <f t="shared" si="84"/>
        <v>-1.0607046298662477</v>
      </c>
      <c r="AP62">
        <f t="shared" si="85"/>
        <v>-0.94820654906814683</v>
      </c>
      <c r="AQ62">
        <f t="shared" si="86"/>
        <v>-0.80758394807052114</v>
      </c>
    </row>
    <row r="63" spans="1:43" x14ac:dyDescent="0.3">
      <c r="A63">
        <v>80</v>
      </c>
      <c r="B63">
        <v>0.4</v>
      </c>
      <c r="C63">
        <v>0.01</v>
      </c>
      <c r="D63">
        <f t="shared" si="79"/>
        <v>0.99</v>
      </c>
      <c r="E63">
        <f t="shared" si="63"/>
        <v>8.9442719099991592</v>
      </c>
      <c r="F63">
        <f t="shared" si="64"/>
        <v>79</v>
      </c>
      <c r="G63">
        <f t="shared" si="65"/>
        <v>0.26547511310366589</v>
      </c>
      <c r="H63">
        <f t="shared" si="66"/>
        <v>-0.13452488689633413</v>
      </c>
      <c r="I63" s="2">
        <f>_xlfn.T.DIST.RT(E63*H63,F63)</f>
        <v>0.88375907376923402</v>
      </c>
      <c r="J63">
        <f>1-I63</f>
        <v>0.11624092623076598</v>
      </c>
      <c r="L63">
        <f>I63/C63</f>
        <v>88.375907376923394</v>
      </c>
      <c r="M63">
        <f t="shared" si="80"/>
        <v>1.9463338858348604</v>
      </c>
      <c r="O63">
        <f>J63/D63</f>
        <v>0.11741507700077372</v>
      </c>
      <c r="P63">
        <f t="shared" si="81"/>
        <v>-0.93027613274918841</v>
      </c>
      <c r="R63" s="4">
        <f>_xlfn.T.DIST.RT(E63*(G63-0.2),F63)</f>
        <v>0.27989767215356587</v>
      </c>
      <c r="S63">
        <f>R63*M63</f>
        <v>0.54477432387878166</v>
      </c>
      <c r="T63">
        <f>(1-R63)*P63</f>
        <v>-0.66989400873266891</v>
      </c>
      <c r="U63" s="2">
        <f>_xlfn.T.DIST.RT(E63*(G63-0.4),F63)</f>
        <v>0.88375907376923402</v>
      </c>
      <c r="V63">
        <f>U63*M63</f>
        <v>1.7200902321910903</v>
      </c>
      <c r="W63">
        <f>(1-U63)*P63</f>
        <v>-0.10813615932114068</v>
      </c>
      <c r="X63" s="2">
        <f>_xlfn.T.DIST.RT(E63*(G63-0.8),F63)</f>
        <v>0.99999602933329834</v>
      </c>
      <c r="Y63">
        <f>X63*M63</f>
        <v>1.9463261575917097</v>
      </c>
      <c r="Z63">
        <f>(1-X63)*P63</f>
        <v>-3.6938164636545026E-6</v>
      </c>
      <c r="AB63">
        <f>C63*M63</f>
        <v>1.9463338858348604E-2</v>
      </c>
      <c r="AC63">
        <f>D63*P63</f>
        <v>-0.92097337142169655</v>
      </c>
      <c r="AD63">
        <f>(C63+0.01)*M63</f>
        <v>3.8926677716697208E-2</v>
      </c>
      <c r="AE63">
        <f>(D63-0.01)*P63</f>
        <v>-0.91167061009420458</v>
      </c>
      <c r="AF63">
        <f>(C63+0.05)*M63</f>
        <v>0.11678003315009164</v>
      </c>
      <c r="AG63">
        <f>(D63-0.05)*P63</f>
        <v>-0.87445956478423703</v>
      </c>
      <c r="AH63">
        <f>(C63+0.1)*M63</f>
        <v>0.21409672744183464</v>
      </c>
      <c r="AI63">
        <f>(D63-0.1)*P63</f>
        <v>-0.82794575814677773</v>
      </c>
      <c r="AK63">
        <f>S63+T63</f>
        <v>-0.12511968485388725</v>
      </c>
      <c r="AL63">
        <f>V63+W63</f>
        <v>1.6119540728699495</v>
      </c>
      <c r="AM63">
        <f t="shared" si="82"/>
        <v>1.9463224637752461</v>
      </c>
      <c r="AN63">
        <f t="shared" si="83"/>
        <v>-0.90151003256334794</v>
      </c>
      <c r="AO63">
        <f t="shared" si="84"/>
        <v>-0.87274393237750736</v>
      </c>
      <c r="AP63">
        <f t="shared" si="85"/>
        <v>-0.75767953163414536</v>
      </c>
      <c r="AQ63">
        <f t="shared" si="86"/>
        <v>-0.61384903070494312</v>
      </c>
    </row>
    <row r="64" spans="1:43" x14ac:dyDescent="0.3">
      <c r="A64">
        <v>80</v>
      </c>
      <c r="B64">
        <v>0.4</v>
      </c>
      <c r="C64">
        <v>5.0000000000000001E-3</v>
      </c>
      <c r="D64">
        <f t="shared" si="79"/>
        <v>0.995</v>
      </c>
      <c r="E64">
        <f t="shared" si="63"/>
        <v>8.9442719099991592</v>
      </c>
      <c r="F64">
        <f t="shared" si="64"/>
        <v>79</v>
      </c>
      <c r="G64">
        <f t="shared" si="65"/>
        <v>0.29510558869553288</v>
      </c>
      <c r="H64">
        <f t="shared" si="66"/>
        <v>-0.10489441130446714</v>
      </c>
      <c r="I64" s="2">
        <f>_xlfn.T.DIST.RT(E64*H64,F64)</f>
        <v>0.82450045113418846</v>
      </c>
      <c r="J64">
        <f>1-I64</f>
        <v>0.17549954886581154</v>
      </c>
      <c r="L64">
        <f>I64/C64</f>
        <v>164.90009022683768</v>
      </c>
      <c r="M64">
        <f t="shared" si="80"/>
        <v>2.2172208932734274</v>
      </c>
      <c r="O64">
        <f>J64/D64</f>
        <v>0.17638145614654427</v>
      </c>
      <c r="P64">
        <f t="shared" si="81"/>
        <v>-0.75354707632758888</v>
      </c>
      <c r="R64" s="4">
        <f>_xlfn.T.DIST.RT(E64*(G64-0.2),F64)</f>
        <v>0.19876730149623623</v>
      </c>
      <c r="S64">
        <f>R64*M64</f>
        <v>0.44071101377703353</v>
      </c>
      <c r="T64">
        <f>(1-R64)*P64</f>
        <v>-0.60376655741557572</v>
      </c>
      <c r="U64" s="2">
        <f>_xlfn.T.DIST.RT(E64*(G64-0.4),F64)</f>
        <v>0.82450045113418846</v>
      </c>
      <c r="V64">
        <f>U64*M64</f>
        <v>1.8280996267680891</v>
      </c>
      <c r="W64">
        <f>(1-U64)*P64</f>
        <v>-0.13224717194464311</v>
      </c>
      <c r="X64" s="2">
        <f>_xlfn.T.DIST.RT(E64*(G64-0.8),F64)</f>
        <v>0.9999891228097928</v>
      </c>
      <c r="Y64">
        <f>X64*M64</f>
        <v>2.2171967761400397</v>
      </c>
      <c r="Z64">
        <f>(1-X64)*P64</f>
        <v>-8.1964748792973291E-6</v>
      </c>
      <c r="AB64">
        <f>C64*M64</f>
        <v>1.1086104466367137E-2</v>
      </c>
      <c r="AC64">
        <f>D64*P64</f>
        <v>-0.74977934094595089</v>
      </c>
      <c r="AD64">
        <f>(C64+0.01)*M64</f>
        <v>3.3258313399101409E-2</v>
      </c>
      <c r="AE64">
        <f>(D64-0.01)*P64</f>
        <v>-0.74224387018267501</v>
      </c>
      <c r="AF64">
        <f>(C64+0.05)*M64</f>
        <v>0.12194714913003851</v>
      </c>
      <c r="AG64">
        <f>(D64-0.05)*P64</f>
        <v>-0.71210198712957151</v>
      </c>
      <c r="AH64">
        <f>(C64+0.1)*M64</f>
        <v>0.2328081937937099</v>
      </c>
      <c r="AI64">
        <f>(D64-0.1)*P64</f>
        <v>-0.67442463331319202</v>
      </c>
      <c r="AK64">
        <f>S64+T64</f>
        <v>-0.16305554363854219</v>
      </c>
      <c r="AL64">
        <f>V64+W64</f>
        <v>1.6958524548234459</v>
      </c>
      <c r="AM64">
        <f t="shared" si="82"/>
        <v>2.2171885796651605</v>
      </c>
      <c r="AN64">
        <f t="shared" si="83"/>
        <v>-0.73869323647958374</v>
      </c>
      <c r="AO64">
        <f t="shared" si="84"/>
        <v>-0.70898555678357356</v>
      </c>
      <c r="AP64">
        <f t="shared" si="85"/>
        <v>-0.59015483799953294</v>
      </c>
      <c r="AQ64">
        <f t="shared" si="86"/>
        <v>-0.44161643951948215</v>
      </c>
    </row>
    <row r="65" spans="1:43" x14ac:dyDescent="0.3">
      <c r="A65">
        <v>80</v>
      </c>
      <c r="B65">
        <v>0.4</v>
      </c>
      <c r="C65">
        <v>2.6956900000000002E-3</v>
      </c>
      <c r="D65">
        <f t="shared" si="79"/>
        <v>0.99730430999999997</v>
      </c>
      <c r="E65">
        <v>8.9442719099999994</v>
      </c>
      <c r="F65">
        <v>79</v>
      </c>
      <c r="G65">
        <v>0.31994581300000002</v>
      </c>
      <c r="H65">
        <v>-8.0054186999999999E-2</v>
      </c>
      <c r="I65" s="2">
        <v>0.76195686699999998</v>
      </c>
      <c r="J65">
        <f>1-I65</f>
        <v>0.23804313300000002</v>
      </c>
      <c r="L65">
        <f>I65/C65</f>
        <v>282.65745208091431</v>
      </c>
      <c r="M65">
        <f t="shared" si="80"/>
        <v>2.4512604398402082</v>
      </c>
      <c r="O65">
        <f>J65/D65</f>
        <v>0.23868655796744728</v>
      </c>
      <c r="P65">
        <f t="shared" si="81"/>
        <v>-0.62217203832438439</v>
      </c>
      <c r="R65" s="4">
        <f>_xlfn.T.DIST.RT(E65*(G65-0.2),F65)</f>
        <v>0.14330728390800637</v>
      </c>
      <c r="S65">
        <f>R65*M65</f>
        <v>0.3512834757846453</v>
      </c>
      <c r="T65">
        <f>(1-R65)*P65</f>
        <v>-0.53301025338860875</v>
      </c>
      <c r="U65" s="2">
        <f>_xlfn.T.DIST.RT(E65*(G65-0.4),F65)</f>
        <v>0.76195686674012375</v>
      </c>
      <c r="V65">
        <f>U65*M65</f>
        <v>1.8677547243046626</v>
      </c>
      <c r="W65">
        <f>(1-U65)*P65</f>
        <v>-0.14810378142942027</v>
      </c>
      <c r="X65" s="2">
        <f>_xlfn.T.DIST.RT(E65*(G65-0.8),F65)</f>
        <v>0.99997525447585223</v>
      </c>
      <c r="Y65">
        <f>X65*M65</f>
        <v>2.4511997821158018</v>
      </c>
      <c r="Z65">
        <f>(1-X65)*P65</f>
        <v>-1.5395973198425466E-5</v>
      </c>
      <c r="AB65">
        <f>C65*M65</f>
        <v>6.6078382550728513E-3</v>
      </c>
      <c r="AC65">
        <f>D65*P65</f>
        <v>-0.62049485538239368</v>
      </c>
      <c r="AD65">
        <f>(C65+0.01)*M65</f>
        <v>3.1120442653474936E-2</v>
      </c>
      <c r="AE65">
        <f>(D65-0.01)*P65</f>
        <v>-0.61427313499914982</v>
      </c>
      <c r="AF65">
        <f>(C65+0.05)*M65</f>
        <v>0.12917086024708327</v>
      </c>
      <c r="AG65">
        <f>(D65-0.05)*P65</f>
        <v>-0.58938625346617446</v>
      </c>
      <c r="AH65">
        <f>(C65+0.1)*M65</f>
        <v>0.25173388223909371</v>
      </c>
      <c r="AI65">
        <f>(D65-0.1)*P65</f>
        <v>-0.55827765154995523</v>
      </c>
      <c r="AK65">
        <f>S65+T65</f>
        <v>-0.18172677760396344</v>
      </c>
      <c r="AL65">
        <f>V65+W65</f>
        <v>1.7196509428752424</v>
      </c>
      <c r="AM65">
        <f t="shared" si="82"/>
        <v>2.4511843861426033</v>
      </c>
      <c r="AN65">
        <f t="shared" si="83"/>
        <v>-0.61388701712732086</v>
      </c>
      <c r="AO65">
        <f t="shared" si="84"/>
        <v>-0.58315269234567491</v>
      </c>
      <c r="AP65">
        <f t="shared" si="85"/>
        <v>-0.46021539321909122</v>
      </c>
      <c r="AQ65">
        <f t="shared" si="86"/>
        <v>-0.30654376931086152</v>
      </c>
    </row>
    <row r="66" spans="1:43" x14ac:dyDescent="0.3">
      <c r="A66">
        <v>80</v>
      </c>
      <c r="B66">
        <v>0.4</v>
      </c>
      <c r="C66">
        <v>2E-3</v>
      </c>
      <c r="D66">
        <f t="shared" ref="D66" si="87">1-C66</f>
        <v>0.998</v>
      </c>
      <c r="E66">
        <f t="shared" ref="E66" si="88">SQRT(A66)</f>
        <v>8.9442719099991592</v>
      </c>
      <c r="F66">
        <f t="shared" ref="F66" si="89">A66-1</f>
        <v>79</v>
      </c>
      <c r="G66">
        <f t="shared" ref="G66" si="90">-_xlfn.T.INV(C66,F66)/E66</f>
        <v>0.33150462027219829</v>
      </c>
      <c r="H66">
        <f t="shared" ref="H66" si="91">G66-B66</f>
        <v>-6.8495379727801731E-2</v>
      </c>
      <c r="I66" s="2">
        <f>_xlfn.T.DIST.RT(E66*H66,F66)</f>
        <v>0.72906344571950177</v>
      </c>
      <c r="J66">
        <f>1-I66</f>
        <v>0.27093655428049823</v>
      </c>
      <c r="L66">
        <f>I66/C66</f>
        <v>364.53172285975086</v>
      </c>
      <c r="M66">
        <f t="shared" ref="M66" si="92">LOG10(L66)</f>
        <v>2.5617353281641657</v>
      </c>
      <c r="O66">
        <f>J66/D66</f>
        <v>0.27147951330711245</v>
      </c>
      <c r="P66">
        <f t="shared" ref="P66" si="93">LOG10(O66)</f>
        <v>-0.56626293805809003</v>
      </c>
      <c r="R66" s="4">
        <f>_xlfn.T.DIST.RT(E66*(G66-0.2),F66)</f>
        <v>0.1215209892278304</v>
      </c>
      <c r="S66">
        <f>R66*M66</f>
        <v>0.31130461121839015</v>
      </c>
      <c r="T66">
        <f>(1-R66)*P66</f>
        <v>-0.49745010566221326</v>
      </c>
      <c r="U66" s="2">
        <f>_xlfn.T.DIST.RT(E66*(G66-0.4),F66)</f>
        <v>0.72906344571950177</v>
      </c>
      <c r="V66">
        <f>U66*M66</f>
        <v>1.8676675853727454</v>
      </c>
      <c r="W66">
        <f>(1-U66)*P66</f>
        <v>-0.15342132925421012</v>
      </c>
      <c r="X66" s="2">
        <f>_xlfn.T.DIST.RT(E66*(G66-0.8),F66)</f>
        <v>0.99996399855262685</v>
      </c>
      <c r="Y66">
        <f>X66*M66</f>
        <v>2.5616431019845649</v>
      </c>
      <c r="Z66">
        <f>(1-X66)*P66</f>
        <v>-2.0386285363861506E-5</v>
      </c>
      <c r="AB66">
        <f>C66*M66</f>
        <v>5.1234706563283317E-3</v>
      </c>
      <c r="AC66">
        <f>D66*P66</f>
        <v>-0.5651304121819738</v>
      </c>
      <c r="AD66">
        <f>(C66+0.01)*M66</f>
        <v>3.074082393796999E-2</v>
      </c>
      <c r="AE66">
        <f>(D66-0.01)*P66</f>
        <v>-0.55946778280139298</v>
      </c>
      <c r="AF66">
        <f>(C66+0.05)*M66</f>
        <v>0.13321023706453664</v>
      </c>
      <c r="AG66">
        <f>(D66-0.05)*P66</f>
        <v>-0.53681726527906937</v>
      </c>
      <c r="AH66">
        <f>(C66+0.1)*M66</f>
        <v>0.26129700347274493</v>
      </c>
      <c r="AI66">
        <f>(D66-0.1)*P66</f>
        <v>-0.50850411837616483</v>
      </c>
      <c r="AK66">
        <f>S66+T66</f>
        <v>-0.18614549444382311</v>
      </c>
      <c r="AL66">
        <f>V66+W66</f>
        <v>1.7142462561185352</v>
      </c>
      <c r="AM66">
        <f t="shared" ref="AM66" si="94">Y66+Z66</f>
        <v>2.5616227156992011</v>
      </c>
      <c r="AN66">
        <f t="shared" ref="AN66" si="95">AB66+AC66</f>
        <v>-0.56000694152564545</v>
      </c>
      <c r="AO66">
        <f t="shared" ref="AO66" si="96">AD66+AE66</f>
        <v>-0.52872695886342302</v>
      </c>
      <c r="AP66">
        <f t="shared" ref="AP66" si="97">AF66+AG66</f>
        <v>-0.40360702821453276</v>
      </c>
      <c r="AQ66">
        <f t="shared" ref="AQ66" si="98">AH66+AI66</f>
        <v>-0.2472071149034199</v>
      </c>
    </row>
    <row r="67" spans="1:43" x14ac:dyDescent="0.3">
      <c r="A67">
        <v>80</v>
      </c>
      <c r="B67">
        <v>0.4</v>
      </c>
      <c r="C67">
        <v>1E-3</v>
      </c>
      <c r="D67">
        <f t="shared" si="79"/>
        <v>0.999</v>
      </c>
      <c r="E67">
        <f t="shared" ref="E67:E81" si="99">SQRT(A67)</f>
        <v>8.9442719099991592</v>
      </c>
      <c r="F67">
        <f t="shared" ref="F67:F81" si="100">A67-1</f>
        <v>79</v>
      </c>
      <c r="G67">
        <f t="shared" ref="G67:G81" si="101">-_xlfn.T.INV(C67,F67)/E67</f>
        <v>0.35739392409638454</v>
      </c>
      <c r="H67">
        <f t="shared" ref="H67:H81" si="102">G67-B67</f>
        <v>-4.2606075903615481E-2</v>
      </c>
      <c r="I67" s="2">
        <f>_xlfn.T.DIST.RT(E67*H67,F67)</f>
        <v>0.64791671828733521</v>
      </c>
      <c r="J67">
        <f>1-I67</f>
        <v>0.35208328171266479</v>
      </c>
      <c r="L67">
        <f>I67/C67</f>
        <v>647.91671828733524</v>
      </c>
      <c r="M67">
        <f t="shared" si="80"/>
        <v>2.8115191862522595</v>
      </c>
      <c r="O67">
        <f>J67/D67</f>
        <v>0.35243571743009489</v>
      </c>
      <c r="P67">
        <f t="shared" si="81"/>
        <v>-0.45292008466194988</v>
      </c>
      <c r="R67" s="4">
        <f>_xlfn.T.DIST.RT(E67*(G67-0.2),F67)</f>
        <v>8.1560417582076619E-2</v>
      </c>
      <c r="S67">
        <f>R67*M67</f>
        <v>0.22930867887075454</v>
      </c>
      <c r="T67">
        <f>(1-R67)*P67</f>
        <v>-0.41597973342561173</v>
      </c>
      <c r="U67" s="2">
        <f>_xlfn.T.DIST.RT(E67*(G67-0.4),F67)</f>
        <v>0.64791671828733521</v>
      </c>
      <c r="V67">
        <f>U67*M67</f>
        <v>1.8216302845584431</v>
      </c>
      <c r="W67">
        <f>(1-U67)*P67</f>
        <v>-0.15946558976135727</v>
      </c>
      <c r="X67" s="2">
        <f>_xlfn.T.DIST.RT(E67*(G67-0.8),F67)</f>
        <v>0.99991815646067739</v>
      </c>
      <c r="Y67">
        <f>X67*M67</f>
        <v>2.8112890815711831</v>
      </c>
      <c r="Z67">
        <f>(1-X67)*P67</f>
        <v>-3.7068582759031256E-5</v>
      </c>
      <c r="AB67">
        <f>C67*M67</f>
        <v>2.8115191862522594E-3</v>
      </c>
      <c r="AC67">
        <f>D67*P67</f>
        <v>-0.45246716457728792</v>
      </c>
      <c r="AD67">
        <f>(C67+0.01)*M67</f>
        <v>3.0926711048774851E-2</v>
      </c>
      <c r="AE67">
        <f>(D67-0.01)*P67</f>
        <v>-0.44793796373066841</v>
      </c>
      <c r="AF67">
        <f>(C67+0.05)*M67</f>
        <v>0.14338747849886524</v>
      </c>
      <c r="AG67">
        <f>(D67-0.05)*P67</f>
        <v>-0.42982116034419043</v>
      </c>
      <c r="AH67">
        <f>(C67+0.1)*M67</f>
        <v>0.2839634378114782</v>
      </c>
      <c r="AI67">
        <f>(D67-0.1)*P67</f>
        <v>-0.40717515611109295</v>
      </c>
      <c r="AK67">
        <f>S67+T67</f>
        <v>-0.18667105455485719</v>
      </c>
      <c r="AL67">
        <f>V67+W67</f>
        <v>1.6621646947970858</v>
      </c>
      <c r="AM67">
        <f t="shared" si="82"/>
        <v>2.8112520129884242</v>
      </c>
      <c r="AN67">
        <f t="shared" si="83"/>
        <v>-0.44965564539103564</v>
      </c>
      <c r="AO67">
        <f t="shared" si="84"/>
        <v>-0.41701125268189354</v>
      </c>
      <c r="AP67">
        <f t="shared" si="85"/>
        <v>-0.28643368184532519</v>
      </c>
      <c r="AQ67">
        <f t="shared" si="86"/>
        <v>-0.12321171829961475</v>
      </c>
    </row>
    <row r="68" spans="1:43" x14ac:dyDescent="0.3">
      <c r="A68">
        <v>80</v>
      </c>
      <c r="B68">
        <v>0.4</v>
      </c>
      <c r="C68">
        <v>1E-4</v>
      </c>
      <c r="D68">
        <f t="shared" si="79"/>
        <v>0.99990000000000001</v>
      </c>
      <c r="E68">
        <f t="shared" si="99"/>
        <v>8.9442719099991592</v>
      </c>
      <c r="F68">
        <f t="shared" si="100"/>
        <v>79</v>
      </c>
      <c r="G68">
        <f t="shared" si="101"/>
        <v>0.43615967689312535</v>
      </c>
      <c r="H68">
        <f t="shared" si="102"/>
        <v>3.6159676893125325E-2</v>
      </c>
      <c r="I68" s="2">
        <f>_xlfn.T.DIST.RT(E68*H68,F68)</f>
        <v>0.37361513705236638</v>
      </c>
      <c r="J68">
        <f>1-I68</f>
        <v>0.62638486294763362</v>
      </c>
      <c r="L68">
        <f>I68/C68</f>
        <v>3736.1513705236634</v>
      </c>
      <c r="M68">
        <f t="shared" si="80"/>
        <v>3.5724244633962283</v>
      </c>
      <c r="O68">
        <f>J68/D68</f>
        <v>0.62644750769840341</v>
      </c>
      <c r="P68">
        <f t="shared" si="81"/>
        <v>-0.20311531425007948</v>
      </c>
      <c r="R68" s="4">
        <f>_xlfn.T.DIST.RT(E68*(G68-0.2),F68)</f>
        <v>1.8910955015420738E-2</v>
      </c>
      <c r="S68">
        <f>R68*M68</f>
        <v>6.7557958323274644E-2</v>
      </c>
      <c r="T68">
        <f>(1-R68)*P68</f>
        <v>-0.19927420967935316</v>
      </c>
      <c r="U68" s="2">
        <f>_xlfn.T.DIST.RT(E68*(G68-0.4),F68)</f>
        <v>0.37361513705236638</v>
      </c>
      <c r="V68">
        <f>U68*M68</f>
        <v>1.3347118555010082</v>
      </c>
      <c r="W68">
        <f>(1-U68)*P68</f>
        <v>-0.12722835827910156</v>
      </c>
      <c r="X68" s="2">
        <f>_xlfn.T.DIST.RT(E68*(G68-0.8),F68)</f>
        <v>0.99916283414932805</v>
      </c>
      <c r="Y68">
        <f>X68*M68</f>
        <v>3.5694337516313679</v>
      </c>
      <c r="Z68">
        <f>(1-X68)*P68</f>
        <v>-1.7004120483866831E-4</v>
      </c>
      <c r="AB68">
        <f>C68*M68</f>
        <v>3.5724244633962283E-4</v>
      </c>
      <c r="AC68">
        <f>D68*P68</f>
        <v>-0.20309500271865447</v>
      </c>
      <c r="AD68">
        <f>(C68+0.01)*M68</f>
        <v>3.6081487080301906E-2</v>
      </c>
      <c r="AE68">
        <f>(D68-0.01)*P68</f>
        <v>-0.20106384957615367</v>
      </c>
      <c r="AF68">
        <f>(C68+0.05)*M68</f>
        <v>0.17897846561615105</v>
      </c>
      <c r="AG68">
        <f>(D68-0.05)*P68</f>
        <v>-0.19293923700615048</v>
      </c>
      <c r="AH68">
        <f>(C68+0.1)*M68</f>
        <v>0.35759968878596249</v>
      </c>
      <c r="AI68">
        <f>(D68-0.1)*P68</f>
        <v>-0.18278347129364653</v>
      </c>
      <c r="AK68">
        <f>S68+T68</f>
        <v>-0.13171625135607851</v>
      </c>
      <c r="AL68">
        <f>V68+W68</f>
        <v>1.2074834972219066</v>
      </c>
      <c r="AM68">
        <f t="shared" si="82"/>
        <v>3.569263710426529</v>
      </c>
      <c r="AN68">
        <f t="shared" si="83"/>
        <v>-0.20273776027231485</v>
      </c>
      <c r="AO68">
        <f t="shared" si="84"/>
        <v>-0.16498236249585177</v>
      </c>
      <c r="AP68">
        <f t="shared" si="85"/>
        <v>-1.3960771389999432E-2</v>
      </c>
      <c r="AQ68">
        <f t="shared" si="86"/>
        <v>0.17481621749231596</v>
      </c>
    </row>
    <row r="69" spans="1:43" x14ac:dyDescent="0.3">
      <c r="A69">
        <v>80</v>
      </c>
      <c r="B69">
        <v>0.4</v>
      </c>
      <c r="C69">
        <v>1.0000000000000001E-5</v>
      </c>
      <c r="D69">
        <f t="shared" si="79"/>
        <v>0.99999000000000005</v>
      </c>
      <c r="E69">
        <f t="shared" si="99"/>
        <v>8.9442719099991592</v>
      </c>
      <c r="F69">
        <f t="shared" si="100"/>
        <v>79</v>
      </c>
      <c r="G69">
        <f t="shared" si="101"/>
        <v>0.50739951148686702</v>
      </c>
      <c r="H69">
        <f t="shared" si="102"/>
        <v>0.10739951148686699</v>
      </c>
      <c r="I69" s="2">
        <f>_xlfn.T.DIST.RT(E69*H69,F69)</f>
        <v>0.16983951709416961</v>
      </c>
      <c r="J69">
        <f>1-I69</f>
        <v>0.83016048290583044</v>
      </c>
      <c r="L69">
        <f>I69/C69</f>
        <v>16983.951709416961</v>
      </c>
      <c r="M69">
        <f t="shared" si="80"/>
        <v>4.2300387463273044</v>
      </c>
      <c r="O69">
        <f>J69/D69</f>
        <v>0.83016878459367638</v>
      </c>
      <c r="P69">
        <f t="shared" si="81"/>
        <v>-8.0833600677552048E-2</v>
      </c>
      <c r="R69" s="4">
        <f>_xlfn.T.DIST.RT(E69*(G69-0.2),F69)</f>
        <v>3.6979638051966813E-3</v>
      </c>
      <c r="S69">
        <f>R69*M69</f>
        <v>1.564253017849792E-2</v>
      </c>
      <c r="T69">
        <f>(1-R69)*P69</f>
        <v>-8.0534680948002729E-2</v>
      </c>
      <c r="U69" s="2">
        <f>_xlfn.T.DIST.RT(E69*(G69-0.4),F69)</f>
        <v>0.16983951709416961</v>
      </c>
      <c r="V69">
        <f>U69*M69</f>
        <v>0.71842773796585602</v>
      </c>
      <c r="W69">
        <f>(1-U69)*P69</f>
        <v>-6.7104860973493677E-2</v>
      </c>
      <c r="X69" s="2">
        <f>_xlfn.T.DIST.RT(E69*(G69-0.8),F69)</f>
        <v>0.994688327262647</v>
      </c>
      <c r="Y69">
        <f>X69*M69</f>
        <v>4.2075701648404911</v>
      </c>
      <c r="Z69">
        <f>(1-X69)*P69</f>
        <v>-4.2936163298103235E-4</v>
      </c>
      <c r="AB69">
        <f>C69*M69</f>
        <v>4.2300387463273046E-5</v>
      </c>
      <c r="AC69">
        <f>D69*P69</f>
        <v>-8.0832792341545279E-2</v>
      </c>
      <c r="AD69">
        <f>(C69+0.01)*M69</f>
        <v>4.2342687850736319E-2</v>
      </c>
      <c r="AE69">
        <f>(D69-0.01)*P69</f>
        <v>-8.0024456334769761E-2</v>
      </c>
      <c r="AF69">
        <f>(C69+0.05)*M69</f>
        <v>0.21154423770382852</v>
      </c>
      <c r="AG69">
        <f>(D69-0.05)*P69</f>
        <v>-7.6791112307667664E-2</v>
      </c>
      <c r="AH69">
        <f>(C69+0.1)*M69</f>
        <v>0.4230461750201937</v>
      </c>
      <c r="AI69">
        <f>(D69-0.1)*P69</f>
        <v>-7.2749432273790077E-2</v>
      </c>
      <c r="AK69">
        <f>S69+T69</f>
        <v>-6.4892150769504803E-2</v>
      </c>
      <c r="AL69">
        <f>V69+W69</f>
        <v>0.65132287699236235</v>
      </c>
      <c r="AM69">
        <f t="shared" si="82"/>
        <v>4.2071408032075102</v>
      </c>
      <c r="AN69">
        <f t="shared" si="83"/>
        <v>-8.0790491954082E-2</v>
      </c>
      <c r="AO69">
        <f t="shared" si="84"/>
        <v>-3.7681768484033443E-2</v>
      </c>
      <c r="AP69">
        <f t="shared" si="85"/>
        <v>0.13475312539616086</v>
      </c>
      <c r="AQ69">
        <f t="shared" si="86"/>
        <v>0.35029674274640366</v>
      </c>
    </row>
    <row r="70" spans="1:43" x14ac:dyDescent="0.3">
      <c r="A70">
        <v>80</v>
      </c>
      <c r="B70">
        <v>0.4</v>
      </c>
      <c r="C70">
        <v>9.9999999999999995E-7</v>
      </c>
      <c r="D70">
        <f t="shared" si="79"/>
        <v>0.99999899999999997</v>
      </c>
      <c r="E70">
        <f t="shared" si="99"/>
        <v>8.9442719099991592</v>
      </c>
      <c r="F70">
        <f t="shared" si="100"/>
        <v>79</v>
      </c>
      <c r="G70">
        <f t="shared" si="101"/>
        <v>0.57384879317342374</v>
      </c>
      <c r="H70">
        <f t="shared" si="102"/>
        <v>0.17384879317342372</v>
      </c>
      <c r="I70" s="2">
        <f>_xlfn.T.DIST.RT(E70*H70,F70)</f>
        <v>6.1977508662955864E-2</v>
      </c>
      <c r="J70">
        <f>1-I70</f>
        <v>0.93802249133704418</v>
      </c>
      <c r="L70">
        <f>I70/C70</f>
        <v>61977.508662955865</v>
      </c>
      <c r="M70">
        <f t="shared" si="80"/>
        <v>4.7922341147287426</v>
      </c>
      <c r="O70">
        <f>J70/D70</f>
        <v>0.93802342936047356</v>
      </c>
      <c r="P70">
        <f t="shared" si="81"/>
        <v>-2.7786313950475275E-2</v>
      </c>
      <c r="R70" s="4">
        <f>_xlfn.T.DIST.RT(E70*(G70-0.2),F70)</f>
        <v>6.3278274184156704E-4</v>
      </c>
      <c r="S70">
        <f>R70*M70</f>
        <v>3.0324430426647486E-3</v>
      </c>
      <c r="T70">
        <f>(1-R70)*P70</f>
        <v>-2.7768731250548025E-2</v>
      </c>
      <c r="U70" s="2">
        <f>_xlfn.T.DIST.RT(E70*(G70-0.4),F70)</f>
        <v>6.1977508662955864E-2</v>
      </c>
      <c r="V70">
        <f>U70*M70</f>
        <v>0.29701073136051326</v>
      </c>
      <c r="W70">
        <f>(1-U70)*P70</f>
        <v>-2.6064187436898083E-2</v>
      </c>
      <c r="X70" s="2">
        <f>_xlfn.T.DIST.RT(E70*(G70-0.8),F70)</f>
        <v>0.97675921324693671</v>
      </c>
      <c r="Y70">
        <f>X70*M70</f>
        <v>4.6808588235975765</v>
      </c>
      <c r="Z70">
        <f>(1-X70)*P70</f>
        <v>-6.4577579717666346E-4</v>
      </c>
      <c r="AB70">
        <f>C70*M70</f>
        <v>4.7922341147287426E-6</v>
      </c>
      <c r="AC70">
        <f>D70*P70</f>
        <v>-2.7786286164161324E-2</v>
      </c>
      <c r="AD70">
        <f>(C70+0.01)*M70</f>
        <v>4.792713338140215E-2</v>
      </c>
      <c r="AE70">
        <f>(D70-0.01)*P70</f>
        <v>-2.7508423024656569E-2</v>
      </c>
      <c r="AF70">
        <f>(C70+0.05)*M70</f>
        <v>0.23961649797055187</v>
      </c>
      <c r="AG70">
        <f>(D70-0.05)*P70</f>
        <v>-2.6396970466637557E-2</v>
      </c>
      <c r="AH70">
        <f>(C70+0.1)*M70</f>
        <v>0.47922820370698904</v>
      </c>
      <c r="AI70">
        <f>(D70-0.1)*P70</f>
        <v>-2.5007654769113798E-2</v>
      </c>
      <c r="AK70">
        <f>S70+T70</f>
        <v>-2.4736288207883275E-2</v>
      </c>
      <c r="AL70">
        <f>V70+W70</f>
        <v>0.27094654392361517</v>
      </c>
      <c r="AM70">
        <f t="shared" si="82"/>
        <v>4.6802130478004003</v>
      </c>
      <c r="AN70">
        <f t="shared" si="83"/>
        <v>-2.7781493930046596E-2</v>
      </c>
      <c r="AO70">
        <f t="shared" si="84"/>
        <v>2.0418710356745581E-2</v>
      </c>
      <c r="AP70">
        <f t="shared" si="85"/>
        <v>0.21321952750391432</v>
      </c>
      <c r="AQ70">
        <f t="shared" si="86"/>
        <v>0.45422054893787522</v>
      </c>
    </row>
    <row r="71" spans="1:43" x14ac:dyDescent="0.3">
      <c r="A71">
        <v>80</v>
      </c>
      <c r="B71">
        <v>0.4</v>
      </c>
      <c r="C71">
        <v>9.9999999999999995E-8</v>
      </c>
      <c r="D71">
        <f t="shared" si="79"/>
        <v>0.99999990000000005</v>
      </c>
      <c r="E71">
        <f t="shared" si="99"/>
        <v>8.9442719099991592</v>
      </c>
      <c r="F71">
        <f t="shared" si="100"/>
        <v>79</v>
      </c>
      <c r="G71">
        <f t="shared" si="101"/>
        <v>0.63707595622123037</v>
      </c>
      <c r="H71">
        <f t="shared" si="102"/>
        <v>0.23707595622123034</v>
      </c>
      <c r="I71" s="2">
        <f>_xlfn.T.DIST.RT(E71*H71,F71)</f>
        <v>1.8551951624133485E-2</v>
      </c>
      <c r="J71">
        <f>1-I71</f>
        <v>0.98144804837586652</v>
      </c>
      <c r="L71">
        <f>I71/C71</f>
        <v>185519.51624133484</v>
      </c>
      <c r="M71">
        <f t="shared" si="80"/>
        <v>5.268389603169858</v>
      </c>
      <c r="O71">
        <f>J71/D71</f>
        <v>0.98144814652068113</v>
      </c>
      <c r="P71">
        <f t="shared" si="81"/>
        <v>-8.1326408167243913E-3</v>
      </c>
      <c r="R71" s="4">
        <f>_xlfn.T.DIST.RT(E71*(G71-0.2),F71)</f>
        <v>9.7202298344361635E-5</v>
      </c>
      <c r="S71">
        <f>R71*M71</f>
        <v>5.1209957800164949E-4</v>
      </c>
      <c r="T71">
        <f>(1-R71)*P71</f>
        <v>-8.131850305345396E-3</v>
      </c>
      <c r="U71" s="2">
        <f>_xlfn.T.DIST.RT(E71*(G71-0.4),F71)</f>
        <v>1.8551951624133485E-2</v>
      </c>
      <c r="V71">
        <f>U71*M71</f>
        <v>9.7738909055095011E-2</v>
      </c>
      <c r="W71">
        <f>(1-U71)*P71</f>
        <v>-7.981764457716067E-3</v>
      </c>
      <c r="X71" s="2">
        <f>_xlfn.T.DIST.RT(E71*(G71-0.8),F71)</f>
        <v>0.92549269922664945</v>
      </c>
      <c r="Y71">
        <f>X71*M71</f>
        <v>4.8758561144152885</v>
      </c>
      <c r="Z71">
        <f>(1-X71)*P71</f>
        <v>-6.0594111541331143E-4</v>
      </c>
      <c r="AB71">
        <f>C71*M71</f>
        <v>5.2683896031698573E-7</v>
      </c>
      <c r="AC71">
        <f>D71*P71</f>
        <v>-8.1326400034603102E-3</v>
      </c>
      <c r="AD71">
        <f>(C71+0.01)*M71</f>
        <v>5.2684422870658894E-2</v>
      </c>
      <c r="AE71">
        <f>(D71-0.01)*P71</f>
        <v>-8.0513135952930658E-3</v>
      </c>
      <c r="AF71">
        <f>(C71+0.05)*M71</f>
        <v>0.26342000699745327</v>
      </c>
      <c r="AG71">
        <f>(D71-0.05)*P71</f>
        <v>-7.7260079626240898E-3</v>
      </c>
      <c r="AH71">
        <f>(C71+0.1)*M71</f>
        <v>0.5268394871559462</v>
      </c>
      <c r="AI71">
        <f>(D71-0.1)*P71</f>
        <v>-7.3193759217878712E-3</v>
      </c>
      <c r="AK71">
        <f>S71+T71</f>
        <v>-7.6197507273437467E-3</v>
      </c>
      <c r="AL71">
        <f>V71+W71</f>
        <v>8.9757144597378949E-2</v>
      </c>
      <c r="AM71">
        <f t="shared" si="82"/>
        <v>4.8752501732998752</v>
      </c>
      <c r="AN71">
        <f t="shared" si="83"/>
        <v>-8.1321131644999933E-3</v>
      </c>
      <c r="AO71">
        <f t="shared" si="84"/>
        <v>4.4633109275365832E-2</v>
      </c>
      <c r="AP71">
        <f t="shared" si="85"/>
        <v>0.2556939990348292</v>
      </c>
      <c r="AQ71">
        <f t="shared" si="86"/>
        <v>0.51952011123415831</v>
      </c>
    </row>
    <row r="72" spans="1:43" x14ac:dyDescent="0.3">
      <c r="A72">
        <v>160</v>
      </c>
      <c r="B72">
        <v>0.4</v>
      </c>
      <c r="C72">
        <v>0.5</v>
      </c>
      <c r="D72">
        <f t="shared" si="79"/>
        <v>0.5</v>
      </c>
      <c r="E72">
        <f t="shared" si="99"/>
        <v>12.649110640673518</v>
      </c>
      <c r="F72">
        <f t="shared" si="100"/>
        <v>159</v>
      </c>
      <c r="G72">
        <f t="shared" si="101"/>
        <v>0</v>
      </c>
      <c r="H72">
        <f t="shared" si="102"/>
        <v>-0.4</v>
      </c>
      <c r="I72" s="2">
        <f>_xlfn.T.DIST.RT(E72*H72,F72)</f>
        <v>0.99999942617633131</v>
      </c>
      <c r="J72">
        <f>1-I72</f>
        <v>5.7382366869251911E-7</v>
      </c>
      <c r="L72">
        <f>I72/C72</f>
        <v>1.9999988523526626</v>
      </c>
      <c r="M72">
        <f t="shared" si="80"/>
        <v>0.30102974645545677</v>
      </c>
      <c r="O72">
        <f>J72/D72</f>
        <v>1.1476473373850382E-6</v>
      </c>
      <c r="P72">
        <f t="shared" si="81"/>
        <v>-5.9401915465700661</v>
      </c>
      <c r="R72" s="4">
        <f>_xlfn.T.DIST.RT(E72*(G72-0.2),F72)</f>
        <v>0.99380754043810671</v>
      </c>
      <c r="S72">
        <f>R72*M72</f>
        <v>0.29916563192360435</v>
      </c>
      <c r="T72">
        <f>(1-R72)*P72</f>
        <v>-3.6784395942035517E-2</v>
      </c>
      <c r="U72" s="2">
        <f>_xlfn.T.DIST.RT(E72*(G72-0.4),F72)</f>
        <v>0.99999942617633131</v>
      </c>
      <c r="V72">
        <f>U72*M72</f>
        <v>0.30102957371746325</v>
      </c>
      <c r="W72">
        <f>(1-U72)*P72</f>
        <v>-3.4086225059891245E-6</v>
      </c>
      <c r="X72" s="2">
        <f>_xlfn.T.DIST.RT(E72*(G72-0.8),F72)</f>
        <v>1</v>
      </c>
      <c r="Y72">
        <f>X72*M72</f>
        <v>0.30102974645545677</v>
      </c>
      <c r="Z72">
        <f>(1-X72)*P72</f>
        <v>0</v>
      </c>
      <c r="AB72">
        <f>C72*M72</f>
        <v>0.15051487322772839</v>
      </c>
      <c r="AC72">
        <f>D72*P72</f>
        <v>-2.970095773285033</v>
      </c>
      <c r="AD72">
        <f>(C72+0.01)*M72</f>
        <v>0.15352517069228294</v>
      </c>
      <c r="AE72">
        <f>(D72-0.01)*P72</f>
        <v>-2.9106938578193322</v>
      </c>
      <c r="AF72">
        <f>(C72+0.05)*M72</f>
        <v>0.16556636055050122</v>
      </c>
      <c r="AG72">
        <f>(D72-0.05)*P72</f>
        <v>-2.6730861959565297</v>
      </c>
      <c r="AH72">
        <f>(C72+0.1)*M72</f>
        <v>0.18061784787327406</v>
      </c>
      <c r="AI72">
        <f>(D72-0.1)*P72</f>
        <v>-2.3760766186280264</v>
      </c>
      <c r="AK72">
        <f>S72+T72</f>
        <v>0.26238123598156882</v>
      </c>
      <c r="AL72">
        <f>V72+W72</f>
        <v>0.30102616509495728</v>
      </c>
      <c r="AM72">
        <f t="shared" si="82"/>
        <v>0.30102974645545677</v>
      </c>
      <c r="AN72">
        <f t="shared" si="83"/>
        <v>-2.8195809000573044</v>
      </c>
      <c r="AO72">
        <f t="shared" si="84"/>
        <v>-2.7571686871270491</v>
      </c>
      <c r="AP72">
        <f t="shared" si="85"/>
        <v>-2.5075198354060286</v>
      </c>
      <c r="AQ72">
        <f t="shared" si="86"/>
        <v>-2.1954587707547524</v>
      </c>
    </row>
    <row r="73" spans="1:43" x14ac:dyDescent="0.3">
      <c r="A73">
        <v>160</v>
      </c>
      <c r="B73">
        <v>0.4</v>
      </c>
      <c r="C73">
        <v>0.2</v>
      </c>
      <c r="D73">
        <f t="shared" si="79"/>
        <v>0.8</v>
      </c>
      <c r="E73">
        <f t="shared" si="99"/>
        <v>12.649110640673518</v>
      </c>
      <c r="F73">
        <f t="shared" si="100"/>
        <v>159</v>
      </c>
      <c r="G73">
        <f t="shared" si="101"/>
        <v>6.6715181549386562E-2</v>
      </c>
      <c r="H73">
        <f t="shared" si="102"/>
        <v>-0.33328481845061347</v>
      </c>
      <c r="I73" s="2">
        <f>_xlfn.T.DIST.RT(E73*H73,F73)</f>
        <v>0.99997918083731463</v>
      </c>
      <c r="J73">
        <f>1-I73</f>
        <v>2.0819162685370429E-5</v>
      </c>
      <c r="L73">
        <f>I73/C73</f>
        <v>4.9998959041865731</v>
      </c>
      <c r="M73">
        <f t="shared" si="80"/>
        <v>0.69896096259442564</v>
      </c>
      <c r="O73">
        <f>J73/D73</f>
        <v>2.6023953356713037E-5</v>
      </c>
      <c r="P73">
        <f t="shared" si="81"/>
        <v>-4.5846267281207735</v>
      </c>
      <c r="R73" s="4">
        <f>_xlfn.T.DIST.RT(E73*(G73-0.2),F73)</f>
        <v>0.95311510561085711</v>
      </c>
      <c r="S73">
        <f>R73*M73</f>
        <v>0.66619025168105228</v>
      </c>
      <c r="T73">
        <f>(1-R73)*P73</f>
        <v>-0.2149497399615842</v>
      </c>
      <c r="U73" s="2">
        <f>_xlfn.T.DIST.RT(E73*(G73-0.4),F73)</f>
        <v>0.99997918083731463</v>
      </c>
      <c r="V73">
        <f>U73*M73</f>
        <v>0.69894641081243469</v>
      </c>
      <c r="W73">
        <f>(1-U73)*P73</f>
        <v>-9.5448089704443931E-5</v>
      </c>
      <c r="X73" s="2">
        <f>_xlfn.T.DIST.RT(E73*(G73-0.8),F73)</f>
        <v>0.99999999999999989</v>
      </c>
      <c r="Y73">
        <f>X73*M73</f>
        <v>0.69896096259442553</v>
      </c>
      <c r="Z73">
        <f>(1-X73)*P73</f>
        <v>-5.0899581528715804E-16</v>
      </c>
      <c r="AB73">
        <f>C73*M73</f>
        <v>0.13979219251888514</v>
      </c>
      <c r="AC73">
        <f>D73*P73</f>
        <v>-3.6677013824966189</v>
      </c>
      <c r="AD73">
        <f>(C73+0.01)*M73</f>
        <v>0.14678180214482939</v>
      </c>
      <c r="AE73">
        <f>(D73-0.01)*P73</f>
        <v>-3.6218551152154115</v>
      </c>
      <c r="AF73">
        <f>(C73+0.05)*M73</f>
        <v>0.17474024064860641</v>
      </c>
      <c r="AG73">
        <f>(D73-0.05)*P73</f>
        <v>-3.4384700460905799</v>
      </c>
      <c r="AH73">
        <f>(C73+0.1)*M73</f>
        <v>0.20968828877832774</v>
      </c>
      <c r="AI73">
        <f>(D73-0.1)*P73</f>
        <v>-3.2092387096845418</v>
      </c>
      <c r="AK73">
        <f>S73+T73</f>
        <v>0.45124051171946811</v>
      </c>
      <c r="AL73">
        <f>V73+W73</f>
        <v>0.69885096272273028</v>
      </c>
      <c r="AM73">
        <f t="shared" si="82"/>
        <v>0.69896096259442497</v>
      </c>
      <c r="AN73">
        <f t="shared" si="83"/>
        <v>-3.5279091899777337</v>
      </c>
      <c r="AO73">
        <f t="shared" si="84"/>
        <v>-3.475073313070582</v>
      </c>
      <c r="AP73">
        <f t="shared" si="85"/>
        <v>-3.2637298054419737</v>
      </c>
      <c r="AQ73">
        <f t="shared" si="86"/>
        <v>-2.999550420906214</v>
      </c>
    </row>
    <row r="74" spans="1:43" x14ac:dyDescent="0.3">
      <c r="A74">
        <v>160</v>
      </c>
      <c r="B74">
        <v>0.4</v>
      </c>
      <c r="C74">
        <v>0.1</v>
      </c>
      <c r="D74">
        <f t="shared" si="79"/>
        <v>0.9</v>
      </c>
      <c r="E74">
        <f t="shared" si="99"/>
        <v>12.649110640673518</v>
      </c>
      <c r="F74">
        <f t="shared" si="100"/>
        <v>159</v>
      </c>
      <c r="G74">
        <f t="shared" si="101"/>
        <v>0.10173827084004637</v>
      </c>
      <c r="H74">
        <f t="shared" si="102"/>
        <v>-0.29826172915995364</v>
      </c>
      <c r="I74" s="2">
        <f>_xlfn.T.DIST.RT(E74*H74,F74)</f>
        <v>0.99988628262871804</v>
      </c>
      <c r="J74">
        <f>1-I74</f>
        <v>1.137173712819628E-4</v>
      </c>
      <c r="L74">
        <f>I74/C74</f>
        <v>9.9988628262871799</v>
      </c>
      <c r="M74">
        <f t="shared" si="80"/>
        <v>0.99995061036487276</v>
      </c>
      <c r="O74">
        <f>J74/D74</f>
        <v>1.2635263475773643E-4</v>
      </c>
      <c r="P74">
        <f t="shared" si="81"/>
        <v>-3.8984156975603255</v>
      </c>
      <c r="R74" s="4">
        <f>_xlfn.T.DIST.RT(E74*(G74-0.2),F74)</f>
        <v>0.89213710059806084</v>
      </c>
      <c r="S74">
        <f>R74*M74</f>
        <v>0.89209303827217878</v>
      </c>
      <c r="T74">
        <f>(1-R74)*P74</f>
        <v>-0.42049442021288985</v>
      </c>
      <c r="U74" s="2">
        <f>_xlfn.T.DIST.RT(E74*(G74-0.4),F74)</f>
        <v>0.99988628262871804</v>
      </c>
      <c r="V74">
        <f>U74*M74</f>
        <v>0.99983689861005032</v>
      </c>
      <c r="W74">
        <f>(1-U74)*P74</f>
        <v>-4.433175852908995E-4</v>
      </c>
      <c r="X74" s="2">
        <f>_xlfn.T.DIST.RT(E74*(G74-0.8),F74)</f>
        <v>0.99999999999999911</v>
      </c>
      <c r="Y74">
        <f>X74*M74</f>
        <v>0.99995061036487187</v>
      </c>
      <c r="Z74">
        <f>(1-X74)*P74</f>
        <v>-3.4624886935932912E-15</v>
      </c>
      <c r="AB74">
        <f>C74*M74</f>
        <v>9.9995061036487282E-2</v>
      </c>
      <c r="AC74">
        <f>D74*P74</f>
        <v>-3.5085741278042928</v>
      </c>
      <c r="AD74">
        <f>(C74+0.01)*M74</f>
        <v>0.109994567140136</v>
      </c>
      <c r="AE74">
        <f>(D74-0.01)*P74</f>
        <v>-3.4695899708286899</v>
      </c>
      <c r="AF74">
        <f>(C74+0.05)*M74</f>
        <v>0.14999259155473094</v>
      </c>
      <c r="AG74">
        <f>(D74-0.05)*P74</f>
        <v>-3.3136533429262767</v>
      </c>
      <c r="AH74">
        <f>(C74+0.1)*M74</f>
        <v>0.19999012207297456</v>
      </c>
      <c r="AI74">
        <f>(D74-0.1)*P74</f>
        <v>-3.1187325580482606</v>
      </c>
      <c r="AK74">
        <f>S74+T74</f>
        <v>0.47159861805928893</v>
      </c>
      <c r="AL74">
        <f>V74+W74</f>
        <v>0.99939358102475939</v>
      </c>
      <c r="AM74">
        <f t="shared" si="82"/>
        <v>0.99995061036486843</v>
      </c>
      <c r="AN74">
        <f t="shared" si="83"/>
        <v>-3.4085790667678055</v>
      </c>
      <c r="AO74">
        <f t="shared" si="84"/>
        <v>-3.3595954036885538</v>
      </c>
      <c r="AP74">
        <f t="shared" si="85"/>
        <v>-3.1636607513715456</v>
      </c>
      <c r="AQ74">
        <f t="shared" si="86"/>
        <v>-2.918742435975286</v>
      </c>
    </row>
    <row r="75" spans="1:43" x14ac:dyDescent="0.3">
      <c r="A75">
        <v>160</v>
      </c>
      <c r="B75">
        <v>0.4</v>
      </c>
      <c r="C75">
        <v>0.05</v>
      </c>
      <c r="D75">
        <f t="shared" si="79"/>
        <v>0.95</v>
      </c>
      <c r="E75">
        <f t="shared" si="99"/>
        <v>12.649110640673518</v>
      </c>
      <c r="F75">
        <f t="shared" si="100"/>
        <v>159</v>
      </c>
      <c r="G75">
        <f t="shared" si="101"/>
        <v>0.13079919605660226</v>
      </c>
      <c r="H75">
        <f t="shared" si="102"/>
        <v>-0.26920080394339774</v>
      </c>
      <c r="I75" s="2">
        <f>_xlfn.T.DIST.RT(E75*H75,F75)</f>
        <v>0.99958138514925621</v>
      </c>
      <c r="J75">
        <f>1-I75</f>
        <v>4.1861485074379257E-4</v>
      </c>
      <c r="L75">
        <f>I75/C75</f>
        <v>19.991627702985124</v>
      </c>
      <c r="M75">
        <f t="shared" si="80"/>
        <v>1.300848155481104</v>
      </c>
      <c r="O75">
        <f>J75/D75</f>
        <v>4.4064721130925537E-4</v>
      </c>
      <c r="P75">
        <f t="shared" si="81"/>
        <v>-3.3559089740198704</v>
      </c>
      <c r="R75" s="4">
        <f>_xlfn.T.DIST.RT(E75*(G75-0.2),F75)</f>
        <v>0.80864225270237533</v>
      </c>
      <c r="S75">
        <f>R75*M75</f>
        <v>1.0519207828719697</v>
      </c>
      <c r="T75">
        <f>(1-R75)*P75</f>
        <v>-0.64217918140432528</v>
      </c>
      <c r="U75" s="2">
        <f>_xlfn.T.DIST.RT(E75*(G75-0.4),F75)</f>
        <v>0.99958138514925621</v>
      </c>
      <c r="V75">
        <f>U75*M75</f>
        <v>1.3003036011246569</v>
      </c>
      <c r="W75">
        <f>(1-U75)*P75</f>
        <v>-1.4048333342690821E-3</v>
      </c>
      <c r="X75" s="2">
        <f>_xlfn.T.DIST.RT(E75*(G75-0.8),F75)</f>
        <v>0.99999999999999201</v>
      </c>
      <c r="Y75">
        <f>X75*M75</f>
        <v>1.3008481554810936</v>
      </c>
      <c r="Z75">
        <f>(1-X75)*P75</f>
        <v>-2.6825813362821933E-14</v>
      </c>
      <c r="AB75">
        <f>C75*M75</f>
        <v>6.5042407774055205E-2</v>
      </c>
      <c r="AC75">
        <f>D75*P75</f>
        <v>-3.1881135253188768</v>
      </c>
      <c r="AD75">
        <f>(C75+0.01)*M75</f>
        <v>7.8050889328866252E-2</v>
      </c>
      <c r="AE75">
        <f>(D75-0.01)*P75</f>
        <v>-3.1545544355786781</v>
      </c>
      <c r="AF75">
        <f>(C75+0.05)*M75</f>
        <v>0.13008481554811041</v>
      </c>
      <c r="AG75">
        <f>(D75-0.05)*P75</f>
        <v>-3.0203180766178832</v>
      </c>
      <c r="AH75">
        <f>(C75+0.1)*M75</f>
        <v>0.19512722332216562</v>
      </c>
      <c r="AI75">
        <f>(D75-0.1)*P75</f>
        <v>-2.8525226279168896</v>
      </c>
      <c r="AK75">
        <f>S75+T75</f>
        <v>0.40974160146764438</v>
      </c>
      <c r="AL75">
        <f>V75+W75</f>
        <v>1.2988987677903878</v>
      </c>
      <c r="AM75">
        <f t="shared" si="82"/>
        <v>1.3008481554810667</v>
      </c>
      <c r="AN75">
        <f t="shared" si="83"/>
        <v>-3.1230711175448218</v>
      </c>
      <c r="AO75">
        <f t="shared" si="84"/>
        <v>-3.0765035462498118</v>
      </c>
      <c r="AP75">
        <f t="shared" si="85"/>
        <v>-2.8902332610697727</v>
      </c>
      <c r="AQ75">
        <f t="shared" si="86"/>
        <v>-2.6573954045947241</v>
      </c>
    </row>
    <row r="76" spans="1:43" x14ac:dyDescent="0.3">
      <c r="A76">
        <v>160</v>
      </c>
      <c r="B76">
        <v>0.4</v>
      </c>
      <c r="C76">
        <v>0.02</v>
      </c>
      <c r="D76">
        <f t="shared" si="79"/>
        <v>0.98</v>
      </c>
      <c r="E76">
        <f t="shared" si="99"/>
        <v>12.649110640673518</v>
      </c>
      <c r="F76">
        <f t="shared" si="100"/>
        <v>159</v>
      </c>
      <c r="G76">
        <f t="shared" si="101"/>
        <v>0.16370590215248026</v>
      </c>
      <c r="H76">
        <f t="shared" si="102"/>
        <v>-0.23629409784751976</v>
      </c>
      <c r="I76" s="2">
        <f>_xlfn.T.DIST.RT(E76*H76,F76)</f>
        <v>0.99837762789732742</v>
      </c>
      <c r="J76">
        <f>1-I76</f>
        <v>1.6223721026725757E-3</v>
      </c>
      <c r="L76">
        <f>I76/C76</f>
        <v>49.918881394866368</v>
      </c>
      <c r="M76">
        <f t="shared" si="80"/>
        <v>1.6982648449139512</v>
      </c>
      <c r="O76">
        <f>J76/D76</f>
        <v>1.6554817374209957E-3</v>
      </c>
      <c r="P76">
        <f t="shared" si="81"/>
        <v>-2.7810756058397499</v>
      </c>
      <c r="R76" s="4">
        <f>_xlfn.T.DIST.RT(E76*(G76-0.2),F76)</f>
        <v>0.67660103901792912</v>
      </c>
      <c r="S76">
        <f>R76*M76</f>
        <v>1.1490477585964016</v>
      </c>
      <c r="T76">
        <f>(1-R76)*P76</f>
        <v>-0.89939696134115843</v>
      </c>
      <c r="U76" s="2">
        <f>_xlfn.T.DIST.RT(E76*(G76-0.4),F76)</f>
        <v>0.99837762789732742</v>
      </c>
      <c r="V76">
        <f>U76*M76</f>
        <v>1.6955096274066133</v>
      </c>
      <c r="W76">
        <f>(1-U76)*P76</f>
        <v>-4.5119394783376425E-3</v>
      </c>
      <c r="X76" s="2">
        <f>_xlfn.T.DIST.RT(E76*(G76-0.8),F76)</f>
        <v>0.99999999999990818</v>
      </c>
      <c r="Y76">
        <f>X76*M76</f>
        <v>1.6982648449137954</v>
      </c>
      <c r="Z76">
        <f>(1-X76)*P76</f>
        <v>-2.5534569192736367E-13</v>
      </c>
      <c r="AB76">
        <f>C76*M76</f>
        <v>3.3965296898279027E-2</v>
      </c>
      <c r="AC76">
        <f>D76*P76</f>
        <v>-2.7254540937229548</v>
      </c>
      <c r="AD76">
        <f>(C76+0.01)*M76</f>
        <v>5.0947945347418533E-2</v>
      </c>
      <c r="AE76">
        <f>(D76-0.01)*P76</f>
        <v>-2.6976433376645574</v>
      </c>
      <c r="AF76">
        <f>(C76+0.05)*M76</f>
        <v>0.1188785391439766</v>
      </c>
      <c r="AG76">
        <f>(D76-0.05)*P76</f>
        <v>-2.5864003134309672</v>
      </c>
      <c r="AH76">
        <f>(C76+0.1)*M76</f>
        <v>0.20379178138967416</v>
      </c>
      <c r="AI76">
        <f>(D76-0.1)*P76</f>
        <v>-2.4473465331389801</v>
      </c>
      <c r="AK76">
        <f>S76+T76</f>
        <v>0.2496507972552432</v>
      </c>
      <c r="AL76">
        <f>V76+W76</f>
        <v>1.6909976879282755</v>
      </c>
      <c r="AM76">
        <f t="shared" si="82"/>
        <v>1.69826484491354</v>
      </c>
      <c r="AN76">
        <f t="shared" si="83"/>
        <v>-2.6914887968246757</v>
      </c>
      <c r="AO76">
        <f t="shared" si="84"/>
        <v>-2.646695392317139</v>
      </c>
      <c r="AP76">
        <f t="shared" si="85"/>
        <v>-2.4675217742869906</v>
      </c>
      <c r="AQ76">
        <f t="shared" si="86"/>
        <v>-2.243554751749306</v>
      </c>
    </row>
    <row r="77" spans="1:43" x14ac:dyDescent="0.3">
      <c r="A77">
        <v>160</v>
      </c>
      <c r="B77">
        <v>0.4</v>
      </c>
      <c r="C77">
        <v>0.01</v>
      </c>
      <c r="D77">
        <f t="shared" si="79"/>
        <v>0.99</v>
      </c>
      <c r="E77">
        <f t="shared" si="99"/>
        <v>12.649110640673518</v>
      </c>
      <c r="F77">
        <f t="shared" si="100"/>
        <v>159</v>
      </c>
      <c r="G77">
        <f t="shared" si="101"/>
        <v>0.185786112953823</v>
      </c>
      <c r="H77">
        <f t="shared" si="102"/>
        <v>-0.21421388704617703</v>
      </c>
      <c r="I77" s="2">
        <f>_xlfn.T.DIST.RT(E77*H77,F77)</f>
        <v>0.99626243282110027</v>
      </c>
      <c r="J77">
        <f>1-I77</f>
        <v>3.7375671788997256E-3</v>
      </c>
      <c r="L77">
        <f>I77/C77</f>
        <v>99.626243282110025</v>
      </c>
      <c r="M77">
        <f t="shared" si="80"/>
        <v>1.998373754200311</v>
      </c>
      <c r="O77">
        <f>J77/D77</f>
        <v>3.7753203827269955E-3</v>
      </c>
      <c r="P77">
        <f t="shared" si="81"/>
        <v>-2.4230461872013178</v>
      </c>
      <c r="R77" s="4">
        <f>_xlfn.T.DIST.RT(E77*(G77-0.2),F77)</f>
        <v>0.57122800756043401</v>
      </c>
      <c r="S77">
        <f>R77*M77</f>
        <v>1.1415270579729082</v>
      </c>
      <c r="T77">
        <f>(1-R77)*P77</f>
        <v>-1.0389343414594026</v>
      </c>
      <c r="U77" s="2">
        <f>_xlfn.T.DIST.RT(E77*(G77-0.4),F77)</f>
        <v>0.99626243282110027</v>
      </c>
      <c r="V77">
        <f>U77*M77</f>
        <v>1.9909046980454372</v>
      </c>
      <c r="W77">
        <f>(1-U77)*P77</f>
        <v>-9.0562979022417653E-3</v>
      </c>
      <c r="X77" s="2">
        <f>_xlfn.T.DIST.RT(E77*(G77-0.8),F77)</f>
        <v>0.99999999999954114</v>
      </c>
      <c r="Y77">
        <f>X77*M77</f>
        <v>1.998373754199394</v>
      </c>
      <c r="Z77">
        <f>(1-X77)*P77</f>
        <v>-1.1118272848723628E-12</v>
      </c>
      <c r="AB77">
        <f>C77*M77</f>
        <v>1.998373754200311E-2</v>
      </c>
      <c r="AC77">
        <f>D77*P77</f>
        <v>-2.3988157253293045</v>
      </c>
      <c r="AD77">
        <f>(C77+0.01)*M77</f>
        <v>3.9967475084006221E-2</v>
      </c>
      <c r="AE77">
        <f>(D77-0.01)*P77</f>
        <v>-2.3745852634572913</v>
      </c>
      <c r="AF77">
        <f>(C77+0.05)*M77</f>
        <v>0.11990242525201868</v>
      </c>
      <c r="AG77">
        <f>(D77-0.05)*P77</f>
        <v>-2.2776634159692386</v>
      </c>
      <c r="AH77">
        <f>(C77+0.1)*M77</f>
        <v>0.21982111296203422</v>
      </c>
      <c r="AI77">
        <f>(D77-0.1)*P77</f>
        <v>-2.1565111066091727</v>
      </c>
      <c r="AK77">
        <f>S77+T77</f>
        <v>0.10259271651350566</v>
      </c>
      <c r="AL77">
        <f>V77+W77</f>
        <v>1.9818484001431955</v>
      </c>
      <c r="AM77">
        <f t="shared" si="82"/>
        <v>1.9983737541982822</v>
      </c>
      <c r="AN77">
        <f t="shared" si="83"/>
        <v>-2.3788319877873016</v>
      </c>
      <c r="AO77">
        <f t="shared" si="84"/>
        <v>-2.334617788373285</v>
      </c>
      <c r="AP77">
        <f t="shared" si="85"/>
        <v>-2.1577609907172199</v>
      </c>
      <c r="AQ77">
        <f t="shared" si="86"/>
        <v>-1.9366899936471385</v>
      </c>
    </row>
    <row r="78" spans="1:43" x14ac:dyDescent="0.3">
      <c r="A78">
        <v>160</v>
      </c>
      <c r="B78">
        <v>0.4</v>
      </c>
      <c r="C78">
        <v>5.0000000000000001E-3</v>
      </c>
      <c r="D78">
        <f t="shared" ref="D78" si="103">1-C78</f>
        <v>0.995</v>
      </c>
      <c r="E78">
        <f t="shared" ref="E78" si="104">SQRT(A78)</f>
        <v>12.649110640673518</v>
      </c>
      <c r="F78">
        <f t="shared" ref="F78" si="105">A78-1</f>
        <v>159</v>
      </c>
      <c r="G78">
        <f t="shared" ref="G78" si="106">-_xlfn.T.INV(C78,F78)/E78</f>
        <v>0.20610962804414582</v>
      </c>
      <c r="H78">
        <f t="shared" ref="H78" si="107">G78-B78</f>
        <v>-0.19389037195585421</v>
      </c>
      <c r="I78" s="2">
        <f>_xlfn.T.DIST.RT(E78*H78,F78)</f>
        <v>0.99236694579099116</v>
      </c>
      <c r="J78">
        <f>1-I78</f>
        <v>7.6330542090088382E-3</v>
      </c>
      <c r="L78">
        <f>I78/C78</f>
        <v>198.47338915819822</v>
      </c>
      <c r="M78">
        <f t="shared" ref="M78" si="108">LOG10(L78)</f>
        <v>2.2977022858271825</v>
      </c>
      <c r="O78">
        <f>J78/D78</f>
        <v>7.6714112653355161E-3</v>
      </c>
      <c r="P78">
        <f t="shared" ref="P78" si="109">LOG10(O78)</f>
        <v>-2.1151247340473711</v>
      </c>
      <c r="R78" s="4">
        <f>_xlfn.T.DIST.RT(E78*(G78-0.2),F78)</f>
        <v>0.46924844066121008</v>
      </c>
      <c r="S78">
        <f>R78*M78</f>
        <v>1.0781932147281035</v>
      </c>
      <c r="T78">
        <f>(1-R78)*P78</f>
        <v>-1.1226057507916856</v>
      </c>
      <c r="U78" s="2">
        <f>_xlfn.T.DIST.RT(E78*(G78-0.4),F78)</f>
        <v>0.99236694579099116</v>
      </c>
      <c r="V78">
        <f>U78*M78</f>
        <v>2.2801637997233</v>
      </c>
      <c r="W78">
        <f>(1-U78)*P78</f>
        <v>-1.6144861753798985E-2</v>
      </c>
      <c r="X78" s="2">
        <f>_xlfn.T.DIST.RT(E78*(G78-0.8),F78)</f>
        <v>0.99999999999802358</v>
      </c>
      <c r="Y78">
        <f>X78*M78</f>
        <v>2.2977022858226412</v>
      </c>
      <c r="Z78">
        <f>(1-X78)*P78</f>
        <v>-4.1803727718904615E-12</v>
      </c>
      <c r="AB78">
        <f>C78*M78</f>
        <v>1.1488511429135912E-2</v>
      </c>
      <c r="AC78">
        <f>D78*P78</f>
        <v>-2.1045491103771341</v>
      </c>
      <c r="AD78">
        <f>(C78+0.01)*M78</f>
        <v>3.4465534287407736E-2</v>
      </c>
      <c r="AE78">
        <f>(D78-0.01)*P78</f>
        <v>-2.0833978630366605</v>
      </c>
      <c r="AF78">
        <f>(C78+0.05)*M78</f>
        <v>0.12637362572049504</v>
      </c>
      <c r="AG78">
        <f>(D78-0.05)*P78</f>
        <v>-1.9987928736747655</v>
      </c>
      <c r="AH78">
        <f>(C78+0.1)*M78</f>
        <v>0.24125874001185418</v>
      </c>
      <c r="AI78">
        <f>(D78-0.1)*P78</f>
        <v>-1.8930366369723972</v>
      </c>
      <c r="AK78">
        <f>S78+T78</f>
        <v>-4.4412536063582086E-2</v>
      </c>
      <c r="AL78">
        <f>V78+W78</f>
        <v>2.2640189379695008</v>
      </c>
      <c r="AM78">
        <f t="shared" ref="AM78" si="110">Y78+Z78</f>
        <v>2.297702285818461</v>
      </c>
      <c r="AN78">
        <f t="shared" ref="AN78" si="111">AB78+AC78</f>
        <v>-2.0930605989479982</v>
      </c>
      <c r="AO78">
        <f t="shared" ref="AO78" si="112">AD78+AE78</f>
        <v>-2.0489323287492529</v>
      </c>
      <c r="AP78">
        <f t="shared" ref="AP78" si="113">AF78+AG78</f>
        <v>-1.8724192479542705</v>
      </c>
      <c r="AQ78">
        <f t="shared" ref="AQ78" si="114">AH78+AI78</f>
        <v>-1.651777896960543</v>
      </c>
    </row>
    <row r="79" spans="1:43" x14ac:dyDescent="0.3">
      <c r="A79">
        <v>160</v>
      </c>
      <c r="B79">
        <v>0.4</v>
      </c>
      <c r="C79">
        <v>2E-3</v>
      </c>
      <c r="D79">
        <f t="shared" si="79"/>
        <v>0.998</v>
      </c>
      <c r="E79">
        <f t="shared" si="99"/>
        <v>12.649110640673518</v>
      </c>
      <c r="F79">
        <f t="shared" si="100"/>
        <v>159</v>
      </c>
      <c r="G79">
        <f t="shared" si="101"/>
        <v>0.23090543100349714</v>
      </c>
      <c r="H79">
        <f t="shared" si="102"/>
        <v>-0.16909456899650288</v>
      </c>
      <c r="I79" s="2">
        <f>_xlfn.T.DIST.RT(E79*H79,F79)</f>
        <v>0.98301455174847618</v>
      </c>
      <c r="J79">
        <f>1-I79</f>
        <v>1.6985448251523816E-2</v>
      </c>
      <c r="L79">
        <f>I79/C79</f>
        <v>491.50727587423808</v>
      </c>
      <c r="M79">
        <f t="shared" si="80"/>
        <v>2.6915299511582753</v>
      </c>
      <c r="O79">
        <f>J79/D79</f>
        <v>1.7019487225975769E-2</v>
      </c>
      <c r="P79">
        <f t="shared" si="81"/>
        <v>-1.769053528756948</v>
      </c>
      <c r="R79" s="4">
        <f>_xlfn.T.DIST.RT(E79*(G79-0.2),F79)</f>
        <v>0.34818754686088532</v>
      </c>
      <c r="S79">
        <f>R79*M79</f>
        <v>0.93715721099639837</v>
      </c>
      <c r="T79">
        <f>(1-R79)*P79</f>
        <v>-1.1530911203134737</v>
      </c>
      <c r="U79" s="2">
        <f>_xlfn.T.DIST.RT(E79*(G79-0.4),F79)</f>
        <v>0.98301455174847618</v>
      </c>
      <c r="V79">
        <f>U79*M79</f>
        <v>2.6458131084554499</v>
      </c>
      <c r="W79">
        <f>(1-U79)*P79</f>
        <v>-3.0048167166876739E-2</v>
      </c>
      <c r="X79" s="2">
        <f>_xlfn.T.DIST.RT(E79*(G79-0.8),F79)</f>
        <v>0.99999999998860878</v>
      </c>
      <c r="Y79">
        <f>X79*M79</f>
        <v>2.6915299511276154</v>
      </c>
      <c r="Z79">
        <f>(1-X79)*P79</f>
        <v>-2.0151680236840566E-11</v>
      </c>
      <c r="AB79">
        <f>C79*M79</f>
        <v>5.3830599023165504E-3</v>
      </c>
      <c r="AC79">
        <f>D79*P79</f>
        <v>-1.765515421699434</v>
      </c>
      <c r="AD79">
        <f>(C79+0.01)*M79</f>
        <v>3.2298359413899302E-2</v>
      </c>
      <c r="AE79">
        <f>(D79-0.01)*P79</f>
        <v>-1.7478248864118646</v>
      </c>
      <c r="AF79">
        <f>(C79+0.05)*M79</f>
        <v>0.13995955746023034</v>
      </c>
      <c r="AG79">
        <f>(D79-0.05)*P79</f>
        <v>-1.6770627452615867</v>
      </c>
      <c r="AH79">
        <f>(C79+0.1)*M79</f>
        <v>0.2745360550181441</v>
      </c>
      <c r="AI79">
        <f>(D79-0.1)*P79</f>
        <v>-1.5886100688237392</v>
      </c>
      <c r="AK79">
        <f>S79+T79</f>
        <v>-0.21593390931707535</v>
      </c>
      <c r="AL79">
        <f>V79+W79</f>
        <v>2.6157649412885733</v>
      </c>
      <c r="AM79">
        <f t="shared" si="82"/>
        <v>2.6915299511074635</v>
      </c>
      <c r="AN79">
        <f t="shared" si="83"/>
        <v>-1.7601323617971174</v>
      </c>
      <c r="AO79">
        <f t="shared" si="84"/>
        <v>-1.7155265269979654</v>
      </c>
      <c r="AP79">
        <f t="shared" si="85"/>
        <v>-1.5371031878013564</v>
      </c>
      <c r="AQ79">
        <f t="shared" si="86"/>
        <v>-1.3140740138055951</v>
      </c>
    </row>
    <row r="80" spans="1:43" x14ac:dyDescent="0.3">
      <c r="A80">
        <v>160</v>
      </c>
      <c r="B80">
        <v>0.4</v>
      </c>
      <c r="C80">
        <v>1E-3</v>
      </c>
      <c r="D80">
        <f t="shared" si="79"/>
        <v>0.999</v>
      </c>
      <c r="E80">
        <f t="shared" si="99"/>
        <v>12.649110640673518</v>
      </c>
      <c r="F80">
        <f t="shared" si="100"/>
        <v>159</v>
      </c>
      <c r="G80">
        <f t="shared" si="101"/>
        <v>0.24841896675643535</v>
      </c>
      <c r="H80">
        <f t="shared" si="102"/>
        <v>-0.15158103324356467</v>
      </c>
      <c r="I80" s="2">
        <f>_xlfn.T.DIST.RT(E80*H80,F80)</f>
        <v>0.97150773877455088</v>
      </c>
      <c r="J80">
        <f>1-I80</f>
        <v>2.8492261225449123E-2</v>
      </c>
      <c r="L80">
        <f>I80/C80</f>
        <v>971.50773877455083</v>
      </c>
      <c r="M80">
        <f t="shared" si="80"/>
        <v>2.98744626442494</v>
      </c>
      <c r="O80">
        <f>J80/D80</f>
        <v>2.8520782007456578E-2</v>
      </c>
      <c r="P80">
        <f t="shared" si="81"/>
        <v>-1.5448385707953776</v>
      </c>
      <c r="R80" s="4">
        <f>_xlfn.T.DIST.RT(E80*(G80-0.2),F80)</f>
        <v>0.27055522214422312</v>
      </c>
      <c r="S80">
        <f>R80*M80</f>
        <v>0.80826918771541911</v>
      </c>
      <c r="T80">
        <f>(1-R80)*P80</f>
        <v>-1.1268744280968701</v>
      </c>
      <c r="U80" s="2">
        <f>_xlfn.T.DIST.RT(E80*(G80-0.4),F80)</f>
        <v>0.97150773877455088</v>
      </c>
      <c r="V80">
        <f>U80*M80</f>
        <v>2.9023271650619527</v>
      </c>
      <c r="W80">
        <f>(1-U80)*P80</f>
        <v>-4.4015944110251379E-2</v>
      </c>
      <c r="X80" s="2">
        <f>_xlfn.T.DIST.RT(E80*(G80-0.8),F80)</f>
        <v>0.9999999999615794</v>
      </c>
      <c r="Y80">
        <f>X80*M80</f>
        <v>2.9874462643101607</v>
      </c>
      <c r="Z80">
        <f>(1-X80)*P80</f>
        <v>-5.935362484683514E-11</v>
      </c>
      <c r="AB80">
        <f>C80*M80</f>
        <v>2.9874462644249402E-3</v>
      </c>
      <c r="AC80">
        <f>D80*P80</f>
        <v>-1.5432937322245821</v>
      </c>
      <c r="AD80">
        <f>(C80+0.01)*M80</f>
        <v>3.2861908908674339E-2</v>
      </c>
      <c r="AE80">
        <f>(D80-0.01)*P80</f>
        <v>-1.5278453465166284</v>
      </c>
      <c r="AF80">
        <f>(C80+0.05)*M80</f>
        <v>0.15235975948567196</v>
      </c>
      <c r="AG80">
        <f>(D80-0.05)*P80</f>
        <v>-1.4660518036848131</v>
      </c>
      <c r="AH80">
        <f>(C80+0.1)*M80</f>
        <v>0.30173207270691899</v>
      </c>
      <c r="AI80">
        <f>(D80-0.1)*P80</f>
        <v>-1.3888098751450444</v>
      </c>
      <c r="AK80">
        <f>S80+T80</f>
        <v>-0.31860524038145099</v>
      </c>
      <c r="AL80">
        <f>V80+W80</f>
        <v>2.8583112209517014</v>
      </c>
      <c r="AM80">
        <f t="shared" si="82"/>
        <v>2.9874462642508073</v>
      </c>
      <c r="AN80">
        <f t="shared" si="83"/>
        <v>-1.5403062859601571</v>
      </c>
      <c r="AO80">
        <f t="shared" si="84"/>
        <v>-1.494983437607954</v>
      </c>
      <c r="AP80">
        <f t="shared" si="85"/>
        <v>-1.3136920441991411</v>
      </c>
      <c r="AQ80">
        <f t="shared" si="86"/>
        <v>-1.0870778024381254</v>
      </c>
    </row>
    <row r="81" spans="1:43" x14ac:dyDescent="0.3">
      <c r="A81">
        <v>160</v>
      </c>
      <c r="B81">
        <v>0.4</v>
      </c>
      <c r="C81">
        <v>1E-4</v>
      </c>
      <c r="D81">
        <f t="shared" si="79"/>
        <v>0.99990000000000001</v>
      </c>
      <c r="E81">
        <f t="shared" si="99"/>
        <v>12.649110640673518</v>
      </c>
      <c r="F81">
        <f t="shared" si="100"/>
        <v>159</v>
      </c>
      <c r="G81">
        <f t="shared" si="101"/>
        <v>0.30101559354259499</v>
      </c>
      <c r="H81">
        <f t="shared" si="102"/>
        <v>-9.8984406457405028E-2</v>
      </c>
      <c r="I81" s="2">
        <f>_xlfn.T.DIST.RT(E81*H81,F81)</f>
        <v>0.8938075255684208</v>
      </c>
      <c r="J81">
        <f>1-I81</f>
        <v>0.1061924744315792</v>
      </c>
      <c r="L81">
        <f>I81/C81</f>
        <v>8938.0752556842071</v>
      </c>
      <c r="M81">
        <f t="shared" si="80"/>
        <v>3.951244006957904</v>
      </c>
      <c r="O81">
        <f>J81/D81</f>
        <v>0.1062030947410533</v>
      </c>
      <c r="P81">
        <f t="shared" si="81"/>
        <v>-0.97386282779899624</v>
      </c>
      <c r="R81" s="4">
        <f>_xlfn.T.DIST.RT(E81*(G81-0.2),F81)</f>
        <v>0.1015986847143999</v>
      </c>
      <c r="S81">
        <f>R81*M81</f>
        <v>0.40144119409257817</v>
      </c>
      <c r="T81">
        <f>(1-R81)*P81</f>
        <v>-0.8749196454023721</v>
      </c>
      <c r="U81" s="2">
        <f>_xlfn.T.DIST.RT(E81*(G81-0.4),F81)</f>
        <v>0.8938075255684208</v>
      </c>
      <c r="V81">
        <f>U81*M81</f>
        <v>3.5316516287760962</v>
      </c>
      <c r="W81">
        <f>(1-U81)*P81</f>
        <v>-0.10341690344091033</v>
      </c>
      <c r="X81" s="2">
        <f>_xlfn.T.DIST.RT(E81*(G81-0.8),F81)</f>
        <v>0.9999999986851309</v>
      </c>
      <c r="Y81">
        <f>X81*M81</f>
        <v>3.9512440017625354</v>
      </c>
      <c r="Z81">
        <f>(1-X81)*P81</f>
        <v>-1.2805021423332084E-9</v>
      </c>
      <c r="AB81">
        <f>C81*M81</f>
        <v>3.9512440069579041E-4</v>
      </c>
      <c r="AC81">
        <f>D81*P81</f>
        <v>-0.97376544151621636</v>
      </c>
      <c r="AD81">
        <f>(C81+0.01)*M81</f>
        <v>3.9907564470274826E-2</v>
      </c>
      <c r="AE81">
        <f>(D81-0.01)*P81</f>
        <v>-0.96402681323822637</v>
      </c>
      <c r="AF81">
        <f>(C81+0.05)*M81</f>
        <v>0.19795732474859101</v>
      </c>
      <c r="AG81">
        <f>(D81-0.05)*P81</f>
        <v>-0.92507230012626651</v>
      </c>
      <c r="AH81">
        <f>(C81+0.1)*M81</f>
        <v>0.39551952509648625</v>
      </c>
      <c r="AI81">
        <f>(D81-0.1)*P81</f>
        <v>-0.87637915873631678</v>
      </c>
      <c r="AK81">
        <f>S81+T81</f>
        <v>-0.47347845130979394</v>
      </c>
      <c r="AL81">
        <f>V81+W81</f>
        <v>3.4282347253351859</v>
      </c>
      <c r="AM81">
        <f t="shared" si="82"/>
        <v>3.9512440004820335</v>
      </c>
      <c r="AN81">
        <f t="shared" si="83"/>
        <v>-0.97337031711552058</v>
      </c>
      <c r="AO81">
        <f t="shared" si="84"/>
        <v>-0.92411924876795148</v>
      </c>
      <c r="AP81">
        <f t="shared" si="85"/>
        <v>-0.72711497537767555</v>
      </c>
      <c r="AQ81">
        <f t="shared" si="86"/>
        <v>-0.48085963363983053</v>
      </c>
    </row>
    <row r="82" spans="1:43" x14ac:dyDescent="0.3">
      <c r="A82">
        <v>160</v>
      </c>
      <c r="B82">
        <v>0.4</v>
      </c>
      <c r="C82" s="3">
        <v>2.5400000000000001E-5</v>
      </c>
      <c r="D82">
        <f t="shared" si="79"/>
        <v>0.99997460000000005</v>
      </c>
      <c r="E82">
        <v>12.64911064</v>
      </c>
      <c r="F82">
        <v>159</v>
      </c>
      <c r="G82">
        <v>0.329309042</v>
      </c>
      <c r="H82">
        <v>-7.0690957999999998E-2</v>
      </c>
      <c r="I82" s="2">
        <v>0.81371084400000004</v>
      </c>
      <c r="J82">
        <f>1-I82</f>
        <v>0.18628915599999996</v>
      </c>
      <c r="L82">
        <f>I82/C82</f>
        <v>32035.86</v>
      </c>
      <c r="M82">
        <f t="shared" si="80"/>
        <v>4.5056363870836522</v>
      </c>
      <c r="O82">
        <f>J82/D82</f>
        <v>0.18629388786475171</v>
      </c>
      <c r="P82">
        <f t="shared" si="81"/>
        <v>-0.72980139368215691</v>
      </c>
      <c r="R82" s="4">
        <f>_xlfn.T.DIST.RT(E82*(G82-0.2),F82)</f>
        <v>5.1946051598742451E-2</v>
      </c>
      <c r="S82">
        <f>R82*M82</f>
        <v>0.23405002024861893</v>
      </c>
      <c r="T82">
        <f>(1-R82)*P82</f>
        <v>-0.69189109282910943</v>
      </c>
      <c r="U82" s="2">
        <f>_xlfn.T.DIST.RT(E82*(G82-0.4),F82)</f>
        <v>0.81371084511962477</v>
      </c>
      <c r="V82">
        <f>U82*M82</f>
        <v>3.6662851923355713</v>
      </c>
      <c r="W82">
        <f>(1-U82)*P82</f>
        <v>-0.13595408485956903</v>
      </c>
      <c r="X82" s="2">
        <f>_xlfn.T.DIST.RT(E82*(G82-0.8),F82)</f>
        <v>0.99999999189100686</v>
      </c>
      <c r="Y82">
        <f>X82*M82</f>
        <v>4.5056363505474772</v>
      </c>
      <c r="Z82">
        <f>(1-X82)*P82</f>
        <v>-5.9179544975799086E-9</v>
      </c>
      <c r="AB82">
        <f>C82*M82</f>
        <v>1.1444316423192477E-4</v>
      </c>
      <c r="AC82">
        <f>D82*P82</f>
        <v>-0.72978285672675747</v>
      </c>
      <c r="AD82">
        <f>(C82+0.01)*M82</f>
        <v>4.5170807035068448E-2</v>
      </c>
      <c r="AE82">
        <f>(D82-0.01)*P82</f>
        <v>-0.72248484278993585</v>
      </c>
      <c r="AF82">
        <f>(C82+0.05)*M82</f>
        <v>0.22539626251841455</v>
      </c>
      <c r="AG82">
        <f>(D82-0.05)*P82</f>
        <v>-0.69329278704264952</v>
      </c>
      <c r="AH82">
        <f>(C82+0.1)*M82</f>
        <v>0.45067808187259717</v>
      </c>
      <c r="AI82">
        <f>(D82-0.1)*P82</f>
        <v>-0.65680271735854179</v>
      </c>
      <c r="AK82">
        <f>S82+T82</f>
        <v>-0.4578410725804905</v>
      </c>
      <c r="AL82">
        <f>V82+W82</f>
        <v>3.5303311074760022</v>
      </c>
      <c r="AM82">
        <f t="shared" si="82"/>
        <v>4.5056363446295231</v>
      </c>
      <c r="AN82">
        <f t="shared" si="83"/>
        <v>-0.72966841356252554</v>
      </c>
      <c r="AO82">
        <f t="shared" si="84"/>
        <v>-0.67731403575486737</v>
      </c>
      <c r="AP82">
        <f t="shared" si="85"/>
        <v>-0.46789652452423497</v>
      </c>
      <c r="AQ82">
        <f t="shared" si="86"/>
        <v>-0.20612463548594462</v>
      </c>
    </row>
    <row r="83" spans="1:43" x14ac:dyDescent="0.3">
      <c r="A83">
        <v>160</v>
      </c>
      <c r="B83">
        <v>0.4</v>
      </c>
      <c r="C83">
        <v>1.0000000000000001E-5</v>
      </c>
      <c r="D83">
        <f t="shared" si="79"/>
        <v>0.99999000000000005</v>
      </c>
      <c r="E83">
        <f t="shared" ref="E83:E99" si="115">SQRT(A83)</f>
        <v>12.649110640673518</v>
      </c>
      <c r="F83">
        <f t="shared" ref="F83:F99" si="116">A83-1</f>
        <v>159</v>
      </c>
      <c r="G83">
        <f t="shared" ref="G83:G99" si="117">-_xlfn.T.INV(C83,F83)/E83</f>
        <v>0.34761836642998639</v>
      </c>
      <c r="H83">
        <f t="shared" ref="H83:H99" si="118">G83-B83</f>
        <v>-5.238163357001363E-2</v>
      </c>
      <c r="I83" s="2">
        <f>_xlfn.T.DIST.RT(E83*H83,F83)</f>
        <v>0.74572090157435633</v>
      </c>
      <c r="J83">
        <f>1-I83</f>
        <v>0.25427909842564367</v>
      </c>
      <c r="L83">
        <f>I83/C83</f>
        <v>74572.090157435625</v>
      </c>
      <c r="M83">
        <f t="shared" si="80"/>
        <v>4.8725763159633759</v>
      </c>
      <c r="O83">
        <f>J83/D83</f>
        <v>0.2542816412420561</v>
      </c>
      <c r="P83">
        <f t="shared" si="81"/>
        <v>-0.59468499411090525</v>
      </c>
      <c r="R83" s="4">
        <f>_xlfn.T.DIST.RT(E83*(G83-0.2),F83)</f>
        <v>3.1854408169413498E-2</v>
      </c>
      <c r="S83">
        <f>R83*M83</f>
        <v>0.15521303480531448</v>
      </c>
      <c r="T83">
        <f>(1-R83)*P83</f>
        <v>-0.57574165557627122</v>
      </c>
      <c r="U83" s="2">
        <f>_xlfn.T.DIST.RT(E83*(G83-0.4),F83)</f>
        <v>0.74572090157435633</v>
      </c>
      <c r="V83">
        <f>U83*M83</f>
        <v>3.6335820033300643</v>
      </c>
      <c r="W83">
        <f>(1-U83)*P83</f>
        <v>-0.1512159641497802</v>
      </c>
      <c r="X83" s="2">
        <f>_xlfn.T.DIST.RT(E83*(G83-0.8),F83)</f>
        <v>0.99999997454367695</v>
      </c>
      <c r="Y83">
        <f>X83*M83</f>
        <v>4.8725761919254991</v>
      </c>
      <c r="Z83">
        <f>(1-X83)*P83</f>
        <v>-1.5138493322783657E-8</v>
      </c>
      <c r="AB83">
        <f>C83*M83</f>
        <v>4.8725763159633766E-5</v>
      </c>
      <c r="AC83">
        <f>D83*P83</f>
        <v>-0.59467904726096421</v>
      </c>
      <c r="AD83">
        <f>(C83+0.01)*M83</f>
        <v>4.8774488922793395E-2</v>
      </c>
      <c r="AE83">
        <f>(D83-0.01)*P83</f>
        <v>-0.58873219731985516</v>
      </c>
      <c r="AF83">
        <f>(C83+0.05)*M83</f>
        <v>0.24367754156132845</v>
      </c>
      <c r="AG83">
        <f>(D83-0.05)*P83</f>
        <v>-0.56494479755541893</v>
      </c>
      <c r="AH83">
        <f>(C83+0.1)*M83</f>
        <v>0.48730635735949723</v>
      </c>
      <c r="AI83">
        <f>(D83-0.1)*P83</f>
        <v>-0.53521054784987365</v>
      </c>
      <c r="AK83">
        <f>S83+T83</f>
        <v>-0.42052862077095676</v>
      </c>
      <c r="AL83">
        <f>V83+W83</f>
        <v>3.4823660391802842</v>
      </c>
      <c r="AM83">
        <f t="shared" si="82"/>
        <v>4.8725761767870059</v>
      </c>
      <c r="AN83">
        <f t="shared" si="83"/>
        <v>-0.59463032149780459</v>
      </c>
      <c r="AO83">
        <f t="shared" si="84"/>
        <v>-0.53995770839706181</v>
      </c>
      <c r="AP83">
        <f t="shared" si="85"/>
        <v>-0.32126725599409045</v>
      </c>
      <c r="AQ83">
        <f t="shared" si="86"/>
        <v>-4.7904190490376419E-2</v>
      </c>
    </row>
    <row r="84" spans="1:43" x14ac:dyDescent="0.3">
      <c r="A84">
        <v>160</v>
      </c>
      <c r="B84">
        <v>0.4</v>
      </c>
      <c r="C84">
        <v>9.9999999999999995E-7</v>
      </c>
      <c r="D84">
        <f t="shared" si="79"/>
        <v>0.99999899999999997</v>
      </c>
      <c r="E84">
        <f t="shared" si="115"/>
        <v>12.649110640673518</v>
      </c>
      <c r="F84">
        <f t="shared" si="116"/>
        <v>159</v>
      </c>
      <c r="G84">
        <f t="shared" si="117"/>
        <v>0.39019548082742761</v>
      </c>
      <c r="H84">
        <f t="shared" si="118"/>
        <v>-9.8045191725724123E-3</v>
      </c>
      <c r="I84" s="2">
        <f>_xlfn.T.DIST.RT(E84*H84,F84)</f>
        <v>0.54927134430848357</v>
      </c>
      <c r="J84">
        <f>1-I84</f>
        <v>0.45072865569151643</v>
      </c>
      <c r="L84">
        <f>I84/C84</f>
        <v>549271.34430848365</v>
      </c>
      <c r="M84">
        <f t="shared" si="80"/>
        <v>5.7397869423067664</v>
      </c>
      <c r="O84">
        <f>J84/D84</f>
        <v>0.45072910642062286</v>
      </c>
      <c r="P84">
        <f t="shared" si="81"/>
        <v>-0.34608439589017415</v>
      </c>
      <c r="R84" s="4">
        <f>_xlfn.T.DIST.RT(E84*(G84-0.2),F84)</f>
        <v>8.642319569070054E-3</v>
      </c>
      <c r="S84">
        <f>R84*M84</f>
        <v>4.9605073013790538E-2</v>
      </c>
      <c r="T84">
        <f>(1-R84)*P84</f>
        <v>-0.34309342394302272</v>
      </c>
      <c r="U84" s="2">
        <f>_xlfn.T.DIST.RT(E84*(G84-0.4),F84)</f>
        <v>0.54927134430848357</v>
      </c>
      <c r="V84">
        <f>U84*M84</f>
        <v>3.1527004898451181</v>
      </c>
      <c r="W84">
        <f>(1-U84)*P84</f>
        <v>-0.15599015451538878</v>
      </c>
      <c r="X84" s="2">
        <f>_xlfn.T.DIST.RT(E84*(G84-0.8),F84)</f>
        <v>0.99999967368280318</v>
      </c>
      <c r="Y84">
        <f>X84*M84</f>
        <v>5.7397850693155812</v>
      </c>
      <c r="Z84">
        <f>(1-X84)*P84</f>
        <v>-1.1293328992978371E-7</v>
      </c>
      <c r="AB84">
        <f>C84*M84</f>
        <v>5.7397869423067665E-6</v>
      </c>
      <c r="AC84">
        <f>D84*P84</f>
        <v>-0.34608404980577823</v>
      </c>
      <c r="AD84">
        <f>(C84+0.01)*M84</f>
        <v>5.7403609210009969E-2</v>
      </c>
      <c r="AE84">
        <f>(D84-0.01)*P84</f>
        <v>-0.3426232058468765</v>
      </c>
      <c r="AF84">
        <f>(C84+0.05)*M84</f>
        <v>0.28699508690228065</v>
      </c>
      <c r="AG84">
        <f>(D84-0.05)*P84</f>
        <v>-0.32877983001126954</v>
      </c>
      <c r="AH84">
        <f>(C84+0.1)*M84</f>
        <v>0.57398443401761901</v>
      </c>
      <c r="AI84">
        <f>(D84-0.1)*P84</f>
        <v>-0.31147561021676085</v>
      </c>
      <c r="AK84">
        <f>S84+T84</f>
        <v>-0.2934883509292322</v>
      </c>
      <c r="AL84">
        <f>V84+W84</f>
        <v>2.9967103353297295</v>
      </c>
      <c r="AM84">
        <f t="shared" si="82"/>
        <v>5.7397849563822909</v>
      </c>
      <c r="AN84">
        <f t="shared" si="83"/>
        <v>-0.34607831001883593</v>
      </c>
      <c r="AO84">
        <f t="shared" si="84"/>
        <v>-0.28521959663686652</v>
      </c>
      <c r="AP84">
        <f t="shared" si="85"/>
        <v>-4.1784743108988887E-2</v>
      </c>
      <c r="AQ84">
        <f t="shared" si="86"/>
        <v>0.26250882380085816</v>
      </c>
    </row>
    <row r="85" spans="1:43" x14ac:dyDescent="0.3">
      <c r="A85">
        <v>160</v>
      </c>
      <c r="B85">
        <v>0.4</v>
      </c>
      <c r="C85">
        <v>9.9999999999999995E-8</v>
      </c>
      <c r="D85">
        <f t="shared" si="79"/>
        <v>0.99999990000000005</v>
      </c>
      <c r="E85">
        <f t="shared" si="115"/>
        <v>12.649110640673518</v>
      </c>
      <c r="F85">
        <f t="shared" si="116"/>
        <v>159</v>
      </c>
      <c r="G85">
        <f t="shared" si="117"/>
        <v>0.42987401718206031</v>
      </c>
      <c r="H85">
        <f t="shared" si="118"/>
        <v>2.9874017182060286E-2</v>
      </c>
      <c r="I85" s="2">
        <f>_xlfn.T.DIST.RT(E85*H85,F85)</f>
        <v>0.35301195243843442</v>
      </c>
      <c r="J85">
        <f>1-I85</f>
        <v>0.64698804756156558</v>
      </c>
      <c r="L85">
        <f>I85/C85</f>
        <v>3530119.5243843445</v>
      </c>
      <c r="M85">
        <f t="shared" si="80"/>
        <v>6.5477894101758647</v>
      </c>
      <c r="O85">
        <f>J85/D85</f>
        <v>0.64698811226037678</v>
      </c>
      <c r="P85">
        <f t="shared" si="81"/>
        <v>-0.18910369897140897</v>
      </c>
      <c r="R85" s="4">
        <f>_xlfn.T.DIST.RT(E85*(G85-0.2),F85)</f>
        <v>2.0808795988620245E-3</v>
      </c>
      <c r="S85">
        <f>R85*M85</f>
        <v>1.3625161401279765E-2</v>
      </c>
      <c r="T85">
        <f>(1-R85)*P85</f>
        <v>-0.18871019694215002</v>
      </c>
      <c r="U85" s="2">
        <f>_xlfn.T.DIST.RT(E85*(G85-0.4),F85)</f>
        <v>0.35301195243843442</v>
      </c>
      <c r="V85">
        <f>U85*M85</f>
        <v>2.3114479238418868</v>
      </c>
      <c r="W85">
        <f>(1-U85)*P85</f>
        <v>-0.12234783298418192</v>
      </c>
      <c r="X85" s="2">
        <f>_xlfn.T.DIST.RT(E85*(G85-0.8),F85)</f>
        <v>0.999996971720015</v>
      </c>
      <c r="Y85">
        <f>X85*M85</f>
        <v>6.5477695816362482</v>
      </c>
      <c r="Z85">
        <f>(1-X85)*P85</f>
        <v>-5.7265894668376278E-7</v>
      </c>
      <c r="AB85">
        <f>C85*M85</f>
        <v>6.5477894101758643E-7</v>
      </c>
      <c r="AC85">
        <f>D85*P85</f>
        <v>-0.18910368006103909</v>
      </c>
      <c r="AD85">
        <f>(C85+0.01)*M85</f>
        <v>6.5478548880699664E-2</v>
      </c>
      <c r="AE85">
        <f>(D85-0.01)*P85</f>
        <v>-0.18721264307132499</v>
      </c>
      <c r="AF85">
        <f>(C85+0.05)*M85</f>
        <v>0.32739012528773431</v>
      </c>
      <c r="AG85">
        <f>(D85-0.05)*P85</f>
        <v>-0.17964849511246864</v>
      </c>
      <c r="AH85">
        <f>(C85+0.1)*M85</f>
        <v>0.65477959579652756</v>
      </c>
      <c r="AI85">
        <f>(D85-0.1)*P85</f>
        <v>-0.17019331016389819</v>
      </c>
      <c r="AK85">
        <f>S85+T85</f>
        <v>-0.17508503554087027</v>
      </c>
      <c r="AL85">
        <f>V85+W85</f>
        <v>2.1891000908577047</v>
      </c>
      <c r="AM85">
        <f t="shared" si="82"/>
        <v>6.5477690089773013</v>
      </c>
      <c r="AN85">
        <f t="shared" si="83"/>
        <v>-0.18910302528209808</v>
      </c>
      <c r="AO85">
        <f t="shared" si="84"/>
        <v>-0.12173409419062532</v>
      </c>
      <c r="AP85">
        <f t="shared" si="85"/>
        <v>0.14774163017526568</v>
      </c>
      <c r="AQ85">
        <f t="shared" si="86"/>
        <v>0.4845862856326294</v>
      </c>
    </row>
    <row r="86" spans="1:43" x14ac:dyDescent="0.3">
      <c r="A86">
        <v>320</v>
      </c>
      <c r="B86">
        <v>0.4</v>
      </c>
      <c r="C86">
        <v>0.5</v>
      </c>
      <c r="D86">
        <f t="shared" ref="D86:D101" si="119">1-C86</f>
        <v>0.5</v>
      </c>
      <c r="E86">
        <f t="shared" si="115"/>
        <v>17.888543819998318</v>
      </c>
      <c r="F86">
        <f t="shared" si="116"/>
        <v>319</v>
      </c>
      <c r="G86">
        <f t="shared" si="117"/>
        <v>0</v>
      </c>
      <c r="H86">
        <f t="shared" si="118"/>
        <v>-0.4</v>
      </c>
      <c r="I86" s="2">
        <f>_xlfn.T.DIST.RT(E86*H86,F86)</f>
        <v>0.99999999999712119</v>
      </c>
      <c r="J86">
        <f>1-I86</f>
        <v>2.8788083028530309E-12</v>
      </c>
      <c r="L86">
        <f>I86/C86</f>
        <v>1.9999999999942424</v>
      </c>
      <c r="M86">
        <f t="shared" ref="M86:M101" si="120">LOG10(L86)</f>
        <v>0.30102999566273092</v>
      </c>
      <c r="O86">
        <f>J86/D86</f>
        <v>5.7576166057060618E-12</v>
      </c>
      <c r="P86">
        <f t="shared" ref="P86:P101" si="121">LOG10(O86)</f>
        <v>-11.23975725775767</v>
      </c>
      <c r="R86" s="4">
        <f>_xlfn.T.DIST.RT(E86*(G86-0.2),F86)</f>
        <v>0.99979979467108848</v>
      </c>
      <c r="S86">
        <f>R86*M86</f>
        <v>0.30096972785343701</v>
      </c>
      <c r="T86">
        <f>(1-R86)*P86</f>
        <v>-2.2502592986749959E-3</v>
      </c>
      <c r="U86" s="2">
        <f>_xlfn.T.DIST.RT(E86*(G86-0.4),F86)</f>
        <v>0.99999999999712119</v>
      </c>
      <c r="V86">
        <f>U86*M86</f>
        <v>0.30102999566186434</v>
      </c>
      <c r="W86">
        <f>(1-U86)*P86</f>
        <v>-3.2357106515685398E-11</v>
      </c>
      <c r="X86" s="2">
        <f>_xlfn.T.DIST.RT(E86*(G86-0.8),F86)</f>
        <v>1</v>
      </c>
      <c r="Y86">
        <f>X86*M86</f>
        <v>0.30102999566273092</v>
      </c>
      <c r="Z86">
        <f>(1-X86)*P86</f>
        <v>0</v>
      </c>
      <c r="AB86">
        <f>C86*M86</f>
        <v>0.15051499783136546</v>
      </c>
      <c r="AC86">
        <f>D86*P86</f>
        <v>-5.6198786288788352</v>
      </c>
      <c r="AD86">
        <f>(C86+0.01)*M86</f>
        <v>0.15352529778799276</v>
      </c>
      <c r="AE86">
        <f>(D86-0.01)*P86</f>
        <v>-5.5074810563012582</v>
      </c>
      <c r="AF86">
        <f>(C86+0.05)*M86</f>
        <v>0.16556649761450201</v>
      </c>
      <c r="AG86">
        <f>(D86-0.05)*P86</f>
        <v>-5.057890765990952</v>
      </c>
      <c r="AH86">
        <f>(C86+0.1)*M86</f>
        <v>0.18061799739763854</v>
      </c>
      <c r="AI86">
        <f>(D86-0.1)*P86</f>
        <v>-4.4959029031030679</v>
      </c>
      <c r="AK86">
        <f>S86+T86</f>
        <v>0.298719468554762</v>
      </c>
      <c r="AL86">
        <f>V86+W86</f>
        <v>0.30102999562950722</v>
      </c>
      <c r="AM86">
        <f t="shared" ref="AM86:AM101" si="122">Y86+Z86</f>
        <v>0.30102999566273092</v>
      </c>
      <c r="AN86">
        <f t="shared" ref="AN86:AN101" si="123">AB86+AC86</f>
        <v>-5.4693636310474698</v>
      </c>
      <c r="AO86">
        <f t="shared" ref="AO86:AO101" si="124">AD86+AE86</f>
        <v>-5.3539557585132656</v>
      </c>
      <c r="AP86">
        <f t="shared" ref="AP86:AP101" si="125">AF86+AG86</f>
        <v>-4.8923242683764503</v>
      </c>
      <c r="AQ86">
        <f t="shared" si="86"/>
        <v>-4.315284905705429</v>
      </c>
    </row>
    <row r="87" spans="1:43" x14ac:dyDescent="0.3">
      <c r="A87">
        <v>320</v>
      </c>
      <c r="B87">
        <v>0.4</v>
      </c>
      <c r="C87">
        <v>0.2</v>
      </c>
      <c r="D87">
        <f t="shared" si="119"/>
        <v>0.8</v>
      </c>
      <c r="E87">
        <f t="shared" si="115"/>
        <v>17.888543819998318</v>
      </c>
      <c r="F87">
        <f t="shared" si="116"/>
        <v>319</v>
      </c>
      <c r="G87">
        <f t="shared" si="117"/>
        <v>4.7111126963342305E-2</v>
      </c>
      <c r="H87">
        <f t="shared" si="118"/>
        <v>-0.35288887303665772</v>
      </c>
      <c r="I87" s="2">
        <f>_xlfn.T.DIST.RT(E87*H87,F87)</f>
        <v>0.99999999954108831</v>
      </c>
      <c r="J87">
        <f>1-I87</f>
        <v>4.5891168642953062E-10</v>
      </c>
      <c r="L87">
        <f>I87/C87</f>
        <v>4.9999999977054417</v>
      </c>
      <c r="M87">
        <f t="shared" si="120"/>
        <v>0.69897000413671595</v>
      </c>
      <c r="O87">
        <f>J87/D87</f>
        <v>5.7363960803691327E-10</v>
      </c>
      <c r="P87">
        <f t="shared" si="121"/>
        <v>-9.2413608696171039</v>
      </c>
      <c r="R87" s="4">
        <f>_xlfn.T.DIST.RT(E87*(G87-0.2),F87)</f>
        <v>0.99670618188181759</v>
      </c>
      <c r="S87">
        <f>R87*M87</f>
        <v>0.69666772407302435</v>
      </c>
      <c r="T87">
        <f>(1-R87)*P87</f>
        <v>-3.0439361869006788E-2</v>
      </c>
      <c r="U87" s="2">
        <f>_xlfn.T.DIST.RT(E87*(G87-0.4),F87)</f>
        <v>0.99999999954108831</v>
      </c>
      <c r="V87">
        <f>U87*M87</f>
        <v>0.69897000381595042</v>
      </c>
      <c r="W87">
        <f>(1-U87)*P87</f>
        <v>-4.2409685015798592E-9</v>
      </c>
      <c r="X87" s="2">
        <f>_xlfn.T.DIST.RT(E87*(G87-0.8),F87)</f>
        <v>1</v>
      </c>
      <c r="Y87">
        <f>X87*M87</f>
        <v>0.69897000413671595</v>
      </c>
      <c r="Z87">
        <f>(1-X87)*P87</f>
        <v>0</v>
      </c>
      <c r="AB87">
        <f>C87*M87</f>
        <v>0.1397940008273432</v>
      </c>
      <c r="AC87">
        <f>D87*P87</f>
        <v>-7.3930886956936837</v>
      </c>
      <c r="AD87">
        <f>(C87+0.01)*M87</f>
        <v>0.14678370086871037</v>
      </c>
      <c r="AE87">
        <f>(D87-0.01)*P87</f>
        <v>-7.3006750869975123</v>
      </c>
      <c r="AF87">
        <f>(C87+0.05)*M87</f>
        <v>0.17474250103417899</v>
      </c>
      <c r="AG87">
        <f>(D87-0.05)*P87</f>
        <v>-6.9310206522128279</v>
      </c>
      <c r="AH87">
        <f>(C87+0.1)*M87</f>
        <v>0.20969100124101481</v>
      </c>
      <c r="AI87">
        <f>(D87-0.1)*P87</f>
        <v>-6.4689526087319731</v>
      </c>
      <c r="AK87">
        <f>S87+T87</f>
        <v>0.6662283622040176</v>
      </c>
      <c r="AL87">
        <f>V87+W87</f>
        <v>0.69896999957498196</v>
      </c>
      <c r="AM87">
        <f t="shared" si="122"/>
        <v>0.69897000413671595</v>
      </c>
      <c r="AN87">
        <f t="shared" si="123"/>
        <v>-7.2532946948663408</v>
      </c>
      <c r="AO87">
        <f t="shared" si="124"/>
        <v>-7.1538913861288016</v>
      </c>
      <c r="AP87">
        <f t="shared" si="125"/>
        <v>-6.7562781511786492</v>
      </c>
      <c r="AQ87">
        <f t="shared" si="86"/>
        <v>-6.2592616074909584</v>
      </c>
    </row>
    <row r="88" spans="1:43" x14ac:dyDescent="0.3">
      <c r="A88">
        <v>320</v>
      </c>
      <c r="B88">
        <v>0.4</v>
      </c>
      <c r="C88">
        <v>0.1</v>
      </c>
      <c r="D88">
        <f t="shared" si="119"/>
        <v>0.9</v>
      </c>
      <c r="E88">
        <f t="shared" si="115"/>
        <v>17.888543819998318</v>
      </c>
      <c r="F88">
        <f t="shared" si="116"/>
        <v>319</v>
      </c>
      <c r="G88">
        <f t="shared" si="117"/>
        <v>7.1789580375653958E-2</v>
      </c>
      <c r="H88">
        <f t="shared" si="118"/>
        <v>-0.32821041962434605</v>
      </c>
      <c r="I88" s="2">
        <f>_xlfn.T.DIST.RT(E88*H88,F88)</f>
        <v>0.99999999457292477</v>
      </c>
      <c r="J88">
        <f>1-I88</f>
        <v>5.4270752336549322E-9</v>
      </c>
      <c r="L88">
        <f>I88/C88</f>
        <v>9.9999999457292468</v>
      </c>
      <c r="M88">
        <f t="shared" si="120"/>
        <v>0.99999999764305114</v>
      </c>
      <c r="O88">
        <f>J88/D88</f>
        <v>6.0300835929499242E-9</v>
      </c>
      <c r="P88">
        <f t="shared" si="121"/>
        <v>-8.2196766673448831</v>
      </c>
      <c r="R88" s="4">
        <f>_xlfn.T.DIST.RT(E88*(G88-0.2),F88)</f>
        <v>0.98876535333712079</v>
      </c>
      <c r="S88">
        <f>R88*M88</f>
        <v>0.98876535100665142</v>
      </c>
      <c r="T88">
        <f>(1-R88)*P88</f>
        <v>-9.23451630407323E-2</v>
      </c>
      <c r="U88" s="2">
        <f>_xlfn.T.DIST.RT(E88*(G88-0.4),F88)</f>
        <v>0.99999999457292477</v>
      </c>
      <c r="V88">
        <f>U88*M88</f>
        <v>0.99999999221597591</v>
      </c>
      <c r="W88">
        <f>(1-U88)*P88</f>
        <v>-4.4608803669998726E-8</v>
      </c>
      <c r="X88" s="2">
        <f>_xlfn.T.DIST.RT(E88*(G88-0.8),F88)</f>
        <v>1</v>
      </c>
      <c r="Y88">
        <f>X88*M88</f>
        <v>0.99999999764305114</v>
      </c>
      <c r="Z88">
        <f>(1-X88)*P88</f>
        <v>0</v>
      </c>
      <c r="AB88">
        <f>C88*M88</f>
        <v>9.9999999764305125E-2</v>
      </c>
      <c r="AC88">
        <f>D88*P88</f>
        <v>-7.3977090006103952</v>
      </c>
      <c r="AD88">
        <f>(C88+0.01)*M88</f>
        <v>0.10999999974073563</v>
      </c>
      <c r="AE88">
        <f>(D88-0.01)*P88</f>
        <v>-7.3155122339369463</v>
      </c>
      <c r="AF88">
        <f>(C88+0.05)*M88</f>
        <v>0.14999999964645769</v>
      </c>
      <c r="AG88">
        <f>(D88-0.05)*P88</f>
        <v>-6.9867251672431507</v>
      </c>
      <c r="AH88">
        <f>(C88+0.1)*M88</f>
        <v>0.19999999952861025</v>
      </c>
      <c r="AI88">
        <f>(D88-0.1)*P88</f>
        <v>-6.5757413338759072</v>
      </c>
      <c r="AK88">
        <f>S88+T88</f>
        <v>0.89642018796591916</v>
      </c>
      <c r="AL88">
        <f>V88+W88</f>
        <v>0.99999994760717226</v>
      </c>
      <c r="AM88">
        <f t="shared" si="122"/>
        <v>0.99999999764305114</v>
      </c>
      <c r="AN88">
        <f t="shared" si="123"/>
        <v>-7.2977090008460896</v>
      </c>
      <c r="AO88">
        <f t="shared" si="124"/>
        <v>-7.2055122341962106</v>
      </c>
      <c r="AP88">
        <f t="shared" si="125"/>
        <v>-6.8367251675966934</v>
      </c>
      <c r="AQ88">
        <f t="shared" si="86"/>
        <v>-6.3757413343472971</v>
      </c>
    </row>
    <row r="89" spans="1:43" x14ac:dyDescent="0.3">
      <c r="A89">
        <v>320</v>
      </c>
      <c r="B89">
        <v>0.4</v>
      </c>
      <c r="C89">
        <v>0.05</v>
      </c>
      <c r="D89">
        <f t="shared" si="119"/>
        <v>0.95</v>
      </c>
      <c r="E89">
        <f t="shared" si="115"/>
        <v>17.888543819998318</v>
      </c>
      <c r="F89">
        <f t="shared" si="116"/>
        <v>319</v>
      </c>
      <c r="G89">
        <f t="shared" si="117"/>
        <v>9.2217920917795529E-2</v>
      </c>
      <c r="H89">
        <f t="shared" si="118"/>
        <v>-0.30778207908220451</v>
      </c>
      <c r="I89" s="2">
        <f>_xlfn.T.DIST.RT(E89*H89,F89)</f>
        <v>0.99999996215682341</v>
      </c>
      <c r="J89">
        <f>1-I89</f>
        <v>3.7843176592389227E-8</v>
      </c>
      <c r="L89">
        <f>I89/C89</f>
        <v>19.999999243136468</v>
      </c>
      <c r="M89">
        <f t="shared" si="120"/>
        <v>1.3010299792288982</v>
      </c>
      <c r="O89">
        <f>J89/D89</f>
        <v>3.9834922728830764E-8</v>
      </c>
      <c r="P89">
        <f t="shared" si="121"/>
        <v>-7.3997360209353404</v>
      </c>
      <c r="R89" s="4">
        <f>_xlfn.T.DIST.RT(E89*(G89-0.2),F89)</f>
        <v>0.97263275333651433</v>
      </c>
      <c r="S89">
        <f>R89*M89</f>
        <v>1.2654243708707513</v>
      </c>
      <c r="T89">
        <f>(1-R89)*P89</f>
        <v>-0.20251040092961739</v>
      </c>
      <c r="U89" s="2">
        <f>_xlfn.T.DIST.RT(E89*(G89-0.4),F89)</f>
        <v>0.99999996215682341</v>
      </c>
      <c r="V89">
        <f>U89*M89</f>
        <v>1.3010299299937909</v>
      </c>
      <c r="W89">
        <f>(1-U89)*P89</f>
        <v>-2.8002951697731968E-7</v>
      </c>
      <c r="X89" s="2">
        <f>_xlfn.T.DIST.RT(E89*(G89-0.8),F89)</f>
        <v>1</v>
      </c>
      <c r="Y89">
        <f>X89*M89</f>
        <v>1.3010299792288982</v>
      </c>
      <c r="Z89">
        <f>(1-X89)*P89</f>
        <v>0</v>
      </c>
      <c r="AB89">
        <f>C89*M89</f>
        <v>6.5051498961444909E-2</v>
      </c>
      <c r="AC89">
        <f>D89*P89</f>
        <v>-7.0297492198885729</v>
      </c>
      <c r="AD89">
        <f>(C89+0.01)*M89</f>
        <v>7.8061798753733896E-2</v>
      </c>
      <c r="AE89">
        <f>(D89-0.01)*P89</f>
        <v>-6.9557518596792196</v>
      </c>
      <c r="AF89">
        <f>(C89+0.05)*M89</f>
        <v>0.13010299792288982</v>
      </c>
      <c r="AG89">
        <f>(D89-0.05)*P89</f>
        <v>-6.6597624188418054</v>
      </c>
      <c r="AH89">
        <f>(C89+0.1)*M89</f>
        <v>0.19515449688433475</v>
      </c>
      <c r="AI89">
        <f>(D89-0.1)*P89</f>
        <v>-6.2897756177950388</v>
      </c>
      <c r="AK89">
        <f>S89+T89</f>
        <v>1.0629139699411339</v>
      </c>
      <c r="AL89">
        <f>V89+W89</f>
        <v>1.3010296499642739</v>
      </c>
      <c r="AM89">
        <f t="shared" si="122"/>
        <v>1.3010299792288982</v>
      </c>
      <c r="AN89">
        <f t="shared" si="123"/>
        <v>-6.9646977209271279</v>
      </c>
      <c r="AO89">
        <f t="shared" si="124"/>
        <v>-6.8776900609254854</v>
      </c>
      <c r="AP89">
        <f t="shared" si="125"/>
        <v>-6.5296594209189154</v>
      </c>
      <c r="AQ89">
        <f t="shared" si="86"/>
        <v>-6.0946211209107037</v>
      </c>
    </row>
    <row r="90" spans="1:43" x14ac:dyDescent="0.3">
      <c r="A90">
        <v>320</v>
      </c>
      <c r="B90">
        <v>0.4</v>
      </c>
      <c r="C90">
        <v>0.02</v>
      </c>
      <c r="D90">
        <f t="shared" si="119"/>
        <v>0.98</v>
      </c>
      <c r="E90">
        <f t="shared" si="115"/>
        <v>17.888543819998318</v>
      </c>
      <c r="F90">
        <f t="shared" si="116"/>
        <v>319</v>
      </c>
      <c r="G90">
        <f t="shared" si="117"/>
        <v>0.11527941278262231</v>
      </c>
      <c r="H90">
        <f t="shared" si="118"/>
        <v>-0.2847205872173777</v>
      </c>
      <c r="I90" s="2">
        <f>_xlfn.T.DIST.RT(E90*H90,F90)</f>
        <v>0.99999969830683766</v>
      </c>
      <c r="J90">
        <f>1-I90</f>
        <v>3.0169316234118781E-7</v>
      </c>
      <c r="L90">
        <f>I90/C90</f>
        <v>49.999984915341884</v>
      </c>
      <c r="M90">
        <f t="shared" si="120"/>
        <v>1.6989698733123235</v>
      </c>
      <c r="O90">
        <f>J90/D90</f>
        <v>3.078501656542733E-7</v>
      </c>
      <c r="P90">
        <f t="shared" si="121"/>
        <v>-6.5116606083784356</v>
      </c>
      <c r="R90" s="4">
        <f>_xlfn.T.DIST.RT(E90*(G90-0.2),F90)</f>
        <v>0.93468550009815188</v>
      </c>
      <c r="S90">
        <f>R90*M90</f>
        <v>1.5880025056886229</v>
      </c>
      <c r="T90">
        <f>(1-R90)*P90</f>
        <v>-0.42530585616680161</v>
      </c>
      <c r="U90" s="2">
        <f>_xlfn.T.DIST.RT(E90*(G90-0.4),F90)</f>
        <v>0.99999969830683766</v>
      </c>
      <c r="V90">
        <f>U90*M90</f>
        <v>1.6989693607447298</v>
      </c>
      <c r="W90">
        <f>(1-U90)*P90</f>
        <v>-1.9645234810342332E-6</v>
      </c>
      <c r="X90" s="2">
        <f>_xlfn.T.DIST.RT(E90*(G90-0.8),F90)</f>
        <v>1</v>
      </c>
      <c r="Y90">
        <f>X90*M90</f>
        <v>1.6989698733123235</v>
      </c>
      <c r="Z90">
        <f>(1-X90)*P90</f>
        <v>0</v>
      </c>
      <c r="AB90">
        <f>C90*M90</f>
        <v>3.3979397466246473E-2</v>
      </c>
      <c r="AC90">
        <f>D90*P90</f>
        <v>-6.3814273962108672</v>
      </c>
      <c r="AD90">
        <f>(C90+0.01)*M90</f>
        <v>5.0969096199369707E-2</v>
      </c>
      <c r="AE90">
        <f>(D90-0.01)*P90</f>
        <v>-6.3163107901270825</v>
      </c>
      <c r="AF90">
        <f>(C90+0.05)*M90</f>
        <v>0.11892789113186265</v>
      </c>
      <c r="AG90">
        <f>(D90-0.05)*P90</f>
        <v>-6.0558443657919447</v>
      </c>
      <c r="AH90">
        <f>(C90+0.1)*M90</f>
        <v>0.20387638479747883</v>
      </c>
      <c r="AI90">
        <f>(D90-0.1)*P90</f>
        <v>-5.7302613353730232</v>
      </c>
      <c r="AK90">
        <f>S90+T90</f>
        <v>1.1626966495218212</v>
      </c>
      <c r="AL90">
        <f>V90+W90</f>
        <v>1.6989673962212488</v>
      </c>
      <c r="AM90">
        <f t="shared" si="122"/>
        <v>1.6989698733123235</v>
      </c>
      <c r="AN90">
        <f t="shared" si="123"/>
        <v>-6.3474479987446211</v>
      </c>
      <c r="AO90">
        <f t="shared" si="124"/>
        <v>-6.2653416939277129</v>
      </c>
      <c r="AP90">
        <f t="shared" si="125"/>
        <v>-5.936916474660082</v>
      </c>
      <c r="AQ90">
        <f t="shared" si="86"/>
        <v>-5.5263849505755447</v>
      </c>
    </row>
    <row r="91" spans="1:43" x14ac:dyDescent="0.3">
      <c r="A91">
        <v>320</v>
      </c>
      <c r="B91">
        <v>0.4</v>
      </c>
      <c r="C91">
        <v>0.01</v>
      </c>
      <c r="D91">
        <f t="shared" si="119"/>
        <v>0.99</v>
      </c>
      <c r="E91">
        <f t="shared" si="115"/>
        <v>17.888543819998318</v>
      </c>
      <c r="F91">
        <f t="shared" si="116"/>
        <v>319</v>
      </c>
      <c r="G91">
        <f t="shared" si="117"/>
        <v>0.13070343794538675</v>
      </c>
      <c r="H91">
        <f t="shared" si="118"/>
        <v>-0.26929656205461328</v>
      </c>
      <c r="I91" s="2">
        <f>_xlfn.T.DIST.RT(E91*H91,F91)</f>
        <v>0.99999887361616735</v>
      </c>
      <c r="J91">
        <f>1-I91</f>
        <v>1.1263838326502906E-6</v>
      </c>
      <c r="L91">
        <f>I91/C91</f>
        <v>99.999887361616729</v>
      </c>
      <c r="M91">
        <f t="shared" si="120"/>
        <v>1.9999995108174415</v>
      </c>
      <c r="O91">
        <f>J91/D91</f>
        <v>1.1377614471215058E-6</v>
      </c>
      <c r="P91">
        <f t="shared" si="121"/>
        <v>-5.9439487863232658</v>
      </c>
      <c r="R91" s="4">
        <f>_xlfn.T.DIST.RT(E91*(G91-0.2),F91)</f>
        <v>0.89198543123406893</v>
      </c>
      <c r="S91">
        <f>R91*M91</f>
        <v>1.7839704261244225</v>
      </c>
      <c r="T91">
        <f>(1-R91)*P91</f>
        <v>-0.64203306492148693</v>
      </c>
      <c r="U91" s="2">
        <f>_xlfn.T.DIST.RT(E91*(G91-0.4),F91)</f>
        <v>0.99999887361616735</v>
      </c>
      <c r="V91">
        <f>U91*M91</f>
        <v>1.9999972580503274</v>
      </c>
      <c r="W91">
        <f>(1-U91)*P91</f>
        <v>-6.6951678150158434E-6</v>
      </c>
      <c r="X91" s="2">
        <f>_xlfn.T.DIST.RT(E91*(G91-0.8),F91)</f>
        <v>1</v>
      </c>
      <c r="Y91">
        <f>X91*M91</f>
        <v>1.9999995108174415</v>
      </c>
      <c r="Z91">
        <f>(1-X91)*P91</f>
        <v>0</v>
      </c>
      <c r="AB91">
        <f>C91*M91</f>
        <v>1.9999995108174417E-2</v>
      </c>
      <c r="AC91">
        <f>D91*P91</f>
        <v>-5.8845092984600331</v>
      </c>
      <c r="AD91">
        <f>(C91+0.01)*M91</f>
        <v>3.9999990216348834E-2</v>
      </c>
      <c r="AE91">
        <f>(D91-0.01)*P91</f>
        <v>-5.8250698105968004</v>
      </c>
      <c r="AF91">
        <f>(C91+0.05)*M91</f>
        <v>0.11999997064904651</v>
      </c>
      <c r="AG91">
        <f>(D91-0.05)*P91</f>
        <v>-5.5873118591438695</v>
      </c>
      <c r="AH91">
        <f>(C91+0.1)*M91</f>
        <v>0.21999994618991858</v>
      </c>
      <c r="AI91">
        <f>(D91-0.1)*P91</f>
        <v>-5.2901144198277068</v>
      </c>
      <c r="AK91">
        <f>S91+T91</f>
        <v>1.1419373612029355</v>
      </c>
      <c r="AL91">
        <f>V91+W91</f>
        <v>1.9999905628825123</v>
      </c>
      <c r="AM91">
        <f t="shared" si="122"/>
        <v>1.9999995108174415</v>
      </c>
      <c r="AN91">
        <f t="shared" si="123"/>
        <v>-5.8645093033518583</v>
      </c>
      <c r="AO91">
        <f t="shared" si="124"/>
        <v>-5.7850698203804516</v>
      </c>
      <c r="AP91">
        <f t="shared" si="125"/>
        <v>-5.4673118884948231</v>
      </c>
      <c r="AQ91">
        <f t="shared" si="86"/>
        <v>-5.0701144736377879</v>
      </c>
    </row>
    <row r="92" spans="1:43" x14ac:dyDescent="0.3">
      <c r="A92">
        <v>320</v>
      </c>
      <c r="B92">
        <v>0.4</v>
      </c>
      <c r="C92">
        <v>5.0000000000000001E-3</v>
      </c>
      <c r="D92">
        <f t="shared" ref="D92" si="126">1-C92</f>
        <v>0.995</v>
      </c>
      <c r="E92">
        <f t="shared" ref="E92" si="127">SQRT(A92)</f>
        <v>17.888543819998318</v>
      </c>
      <c r="F92">
        <f t="shared" ref="F92" si="128">A92-1</f>
        <v>319</v>
      </c>
      <c r="G92">
        <f t="shared" ref="G92" si="129">-_xlfn.T.INV(C92,F92)/E92</f>
        <v>0.14485968777343639</v>
      </c>
      <c r="H92">
        <f t="shared" ref="H92" si="130">G92-B92</f>
        <v>-0.25514031222656364</v>
      </c>
      <c r="I92" s="2">
        <f>_xlfn.T.DIST.RT(E92*H92,F92)</f>
        <v>0.99999641542371942</v>
      </c>
      <c r="J92">
        <f>1-I92</f>
        <v>3.5845762805797321E-6</v>
      </c>
      <c r="L92">
        <f>I92/C92</f>
        <v>199.99928308474389</v>
      </c>
      <c r="M92">
        <f t="shared" ref="M92" si="131">LOG10(L92)</f>
        <v>2.3010284388994924</v>
      </c>
      <c r="O92">
        <f>J92/D92</f>
        <v>3.6025892267132984E-6</v>
      </c>
      <c r="P92">
        <f t="shared" ref="P92" si="132">LOG10(O92)</f>
        <v>-5.4433852540422611</v>
      </c>
      <c r="R92" s="4">
        <f>_xlfn.T.DIST.RT(E92*(G92-0.2),F92)</f>
        <v>0.83765286187468457</v>
      </c>
      <c r="S92">
        <f>R92*M92</f>
        <v>1.9274630570991975</v>
      </c>
      <c r="T92">
        <f>(1-R92)*P92</f>
        <v>-0.88371801770730418</v>
      </c>
      <c r="U92" s="2">
        <f>_xlfn.T.DIST.RT(E92*(G92-0.4),F92)</f>
        <v>0.99999641542371942</v>
      </c>
      <c r="V92">
        <f>U92*M92</f>
        <v>2.3010201906875292</v>
      </c>
      <c r="W92">
        <f>(1-U92)*P92</f>
        <v>-1.9512229667697368E-5</v>
      </c>
      <c r="X92" s="2">
        <f>_xlfn.T.DIST.RT(E92*(G92-0.8),F92)</f>
        <v>1</v>
      </c>
      <c r="Y92">
        <f>X92*M92</f>
        <v>2.3010284388994924</v>
      </c>
      <c r="Z92">
        <f>(1-X92)*P92</f>
        <v>0</v>
      </c>
      <c r="AB92">
        <f>C92*M92</f>
        <v>1.1505142194497463E-2</v>
      </c>
      <c r="AC92">
        <f>D92*P92</f>
        <v>-5.4161683277720494</v>
      </c>
      <c r="AD92">
        <f>(C92+0.01)*M92</f>
        <v>3.4515426583492381E-2</v>
      </c>
      <c r="AE92">
        <f>(D92-0.01)*P92</f>
        <v>-5.3617344752316267</v>
      </c>
      <c r="AF92">
        <f>(C92+0.05)*M92</f>
        <v>0.12655656413947208</v>
      </c>
      <c r="AG92">
        <f>(D92-0.05)*P92</f>
        <v>-5.1439990650699361</v>
      </c>
      <c r="AH92">
        <f>(C92+0.1)*M92</f>
        <v>0.24160798608444672</v>
      </c>
      <c r="AI92">
        <f>(D92-0.1)*P92</f>
        <v>-4.8718298023678237</v>
      </c>
      <c r="AK92">
        <f>S92+T92</f>
        <v>1.0437450393918932</v>
      </c>
      <c r="AL92">
        <f>V92+W92</f>
        <v>2.3010006784578616</v>
      </c>
      <c r="AM92">
        <f t="shared" ref="AM92" si="133">Y92+Z92</f>
        <v>2.3010284388994924</v>
      </c>
      <c r="AN92">
        <f t="shared" ref="AN92" si="134">AB92+AC92</f>
        <v>-5.4046631855775518</v>
      </c>
      <c r="AO92">
        <f t="shared" ref="AO92" si="135">AD92+AE92</f>
        <v>-5.3272190486481339</v>
      </c>
      <c r="AP92">
        <f t="shared" ref="AP92" si="136">AF92+AG92</f>
        <v>-5.0174425009304642</v>
      </c>
      <c r="AQ92">
        <f t="shared" ref="AQ92" si="137">AH92+AI92</f>
        <v>-4.6302218162833766</v>
      </c>
    </row>
    <row r="93" spans="1:43" x14ac:dyDescent="0.3">
      <c r="A93">
        <v>320</v>
      </c>
      <c r="B93">
        <v>0.4</v>
      </c>
      <c r="C93">
        <v>2E-3</v>
      </c>
      <c r="D93">
        <f t="shared" si="119"/>
        <v>0.998</v>
      </c>
      <c r="E93">
        <f t="shared" si="115"/>
        <v>17.888543819998318</v>
      </c>
      <c r="F93">
        <f t="shared" si="116"/>
        <v>319</v>
      </c>
      <c r="G93">
        <f t="shared" si="117"/>
        <v>0.16207267651564755</v>
      </c>
      <c r="H93">
        <f t="shared" si="118"/>
        <v>-0.23792732348435247</v>
      </c>
      <c r="I93" s="2">
        <f>_xlfn.T.DIST.RT(E93*H93,F93)</f>
        <v>0.99998631222793655</v>
      </c>
      <c r="J93">
        <f>1-I93</f>
        <v>1.3687772063453174E-5</v>
      </c>
      <c r="L93">
        <f>I93/C93</f>
        <v>499.99315611396827</v>
      </c>
      <c r="M93">
        <f t="shared" si="120"/>
        <v>2.6989640597714581</v>
      </c>
      <c r="O93">
        <f>J93/D93</f>
        <v>1.3715202468389954E-5</v>
      </c>
      <c r="P93">
        <f t="shared" si="121"/>
        <v>-4.8627977768122417</v>
      </c>
      <c r="R93" s="4">
        <f>_xlfn.T.DIST.RT(E93*(G93-0.2),F93)</f>
        <v>0.75101547817176528</v>
      </c>
      <c r="S93">
        <f>R93*M93</f>
        <v>2.0269637839176706</v>
      </c>
      <c r="T93">
        <f>(1-R93)*P93</f>
        <v>-1.2107613792069989</v>
      </c>
      <c r="U93" s="2">
        <f>_xlfn.T.DIST.RT(E93*(G93-0.4),F93)</f>
        <v>0.99998631222793655</v>
      </c>
      <c r="V93">
        <f>U93*M93</f>
        <v>2.6989271169666007</v>
      </c>
      <c r="W93">
        <f>(1-U93)*P93</f>
        <v>-6.656086755967281E-5</v>
      </c>
      <c r="X93" s="2">
        <f>_xlfn.T.DIST.RT(E93*(G93-0.8),F93)</f>
        <v>1</v>
      </c>
      <c r="Y93">
        <f>X93*M93</f>
        <v>2.6989640597714581</v>
      </c>
      <c r="Z93">
        <f>(1-X93)*P93</f>
        <v>0</v>
      </c>
      <c r="AB93">
        <f>C93*M93</f>
        <v>5.3979281195429161E-3</v>
      </c>
      <c r="AC93">
        <f>D93*P93</f>
        <v>-4.8530721812586171</v>
      </c>
      <c r="AD93">
        <f>(C93+0.01)*M93</f>
        <v>3.2387568717257495E-2</v>
      </c>
      <c r="AE93">
        <f>(D93-0.01)*P93</f>
        <v>-4.8044442034904948</v>
      </c>
      <c r="AF93">
        <f>(C93+0.05)*M93</f>
        <v>0.14034613110811583</v>
      </c>
      <c r="AG93">
        <f>(D93-0.05)*P93</f>
        <v>-4.6099322924180051</v>
      </c>
      <c r="AH93">
        <f>(C93+0.1)*M93</f>
        <v>0.27529433409668874</v>
      </c>
      <c r="AI93">
        <f>(D93-0.1)*P93</f>
        <v>-4.3667924035773931</v>
      </c>
      <c r="AK93">
        <f>S93+T93</f>
        <v>0.81620240471067174</v>
      </c>
      <c r="AL93">
        <f>V93+W93</f>
        <v>2.6988605560990409</v>
      </c>
      <c r="AM93">
        <f t="shared" si="122"/>
        <v>2.6989640597714581</v>
      </c>
      <c r="AN93">
        <f t="shared" si="123"/>
        <v>-4.8476742531390737</v>
      </c>
      <c r="AO93">
        <f t="shared" si="124"/>
        <v>-4.7720566347732376</v>
      </c>
      <c r="AP93">
        <f t="shared" si="125"/>
        <v>-4.4695861613098895</v>
      </c>
      <c r="AQ93">
        <f t="shared" si="86"/>
        <v>-4.0914980694807044</v>
      </c>
    </row>
    <row r="94" spans="1:43" x14ac:dyDescent="0.3">
      <c r="A94">
        <v>320</v>
      </c>
      <c r="B94">
        <v>0.4</v>
      </c>
      <c r="C94">
        <v>1E-3</v>
      </c>
      <c r="D94">
        <f t="shared" si="119"/>
        <v>0.999</v>
      </c>
      <c r="E94">
        <f t="shared" si="115"/>
        <v>17.888543819998318</v>
      </c>
      <c r="F94">
        <f t="shared" si="116"/>
        <v>319</v>
      </c>
      <c r="G94">
        <f t="shared" si="117"/>
        <v>0.17418835021953483</v>
      </c>
      <c r="H94">
        <f t="shared" si="118"/>
        <v>-0.2258116497804652</v>
      </c>
      <c r="I94" s="2">
        <f>_xlfn.T.DIST.RT(E94*H94,F94)</f>
        <v>0.99996640997017938</v>
      </c>
      <c r="J94">
        <f>1-I94</f>
        <v>3.3590029820618206E-5</v>
      </c>
      <c r="L94">
        <f>I94/C94</f>
        <v>999.96640997017937</v>
      </c>
      <c r="M94">
        <f t="shared" si="120"/>
        <v>2.9999854117903912</v>
      </c>
      <c r="O94">
        <f>J94/D94</f>
        <v>3.3623653474092295E-5</v>
      </c>
      <c r="P94">
        <f t="shared" si="121"/>
        <v>-4.4733550988253965</v>
      </c>
      <c r="R94" s="4">
        <f>_xlfn.T.DIST.RT(E94*(G94-0.2),F94)</f>
        <v>0.67770618128167559</v>
      </c>
      <c r="S94">
        <f>R94*M94</f>
        <v>2.0331086573252013</v>
      </c>
      <c r="T94">
        <f>(1-R94)*P94</f>
        <v>-1.4417346972835245</v>
      </c>
      <c r="U94" s="2">
        <f>_xlfn.T.DIST.RT(E94*(G94-0.4),F94)</f>
        <v>0.99996640997017938</v>
      </c>
      <c r="V94">
        <f>U94*M94</f>
        <v>2.9998846421909477</v>
      </c>
      <c r="W94">
        <f>(1-U94)*P94</f>
        <v>-1.5026013116775956E-4</v>
      </c>
      <c r="X94" s="2">
        <f>_xlfn.T.DIST.RT(E94*(G94-0.8),F94)</f>
        <v>1</v>
      </c>
      <c r="Y94">
        <f>X94*M94</f>
        <v>2.9999854117903912</v>
      </c>
      <c r="Z94">
        <f>(1-X94)*P94</f>
        <v>0</v>
      </c>
      <c r="AB94">
        <f>C94*M94</f>
        <v>2.9999854117903914E-3</v>
      </c>
      <c r="AC94">
        <f>D94*P94</f>
        <v>-4.4688817437265715</v>
      </c>
      <c r="AD94">
        <f>(C94+0.01)*M94</f>
        <v>3.2999839529694298E-2</v>
      </c>
      <c r="AE94">
        <f>(D94-0.01)*P94</f>
        <v>-4.4241481927383175</v>
      </c>
      <c r="AF94">
        <f>(C94+0.05)*M94</f>
        <v>0.15299925600130995</v>
      </c>
      <c r="AG94">
        <f>(D94-0.05)*P94</f>
        <v>-4.2452139887853013</v>
      </c>
      <c r="AH94">
        <f>(C94+0.1)*M94</f>
        <v>0.30299852659082954</v>
      </c>
      <c r="AI94">
        <f>(D94-0.1)*P94</f>
        <v>-4.021546233844032</v>
      </c>
      <c r="AK94">
        <f>S94+T94</f>
        <v>0.59137396004167675</v>
      </c>
      <c r="AL94">
        <f>V94+W94</f>
        <v>2.9997343820597799</v>
      </c>
      <c r="AM94">
        <f t="shared" si="122"/>
        <v>2.9999854117903912</v>
      </c>
      <c r="AN94">
        <f t="shared" si="123"/>
        <v>-4.4658817583147812</v>
      </c>
      <c r="AO94">
        <f t="shared" si="124"/>
        <v>-4.3911483532086235</v>
      </c>
      <c r="AP94">
        <f t="shared" si="125"/>
        <v>-4.0922147327839911</v>
      </c>
      <c r="AQ94">
        <f t="shared" si="86"/>
        <v>-3.7185477072532023</v>
      </c>
    </row>
    <row r="95" spans="1:43" x14ac:dyDescent="0.3">
      <c r="A95">
        <v>320</v>
      </c>
      <c r="B95">
        <v>0.4</v>
      </c>
      <c r="C95">
        <v>1E-4</v>
      </c>
      <c r="D95">
        <f t="shared" si="119"/>
        <v>0.99990000000000001</v>
      </c>
      <c r="E95">
        <f t="shared" si="115"/>
        <v>17.888543819998318</v>
      </c>
      <c r="F95">
        <f t="shared" si="116"/>
        <v>319</v>
      </c>
      <c r="G95">
        <f t="shared" si="117"/>
        <v>0.21034110465245545</v>
      </c>
      <c r="H95">
        <f t="shared" si="118"/>
        <v>-0.18965889534754457</v>
      </c>
      <c r="I95" s="2">
        <f>_xlfn.T.DIST.RT(E95*H95,F95)</f>
        <v>0.99961039181867295</v>
      </c>
      <c r="J95">
        <f>1-I95</f>
        <v>3.8960818132705022E-4</v>
      </c>
      <c r="L95">
        <f>I95/C95</f>
        <v>9996.1039181867291</v>
      </c>
      <c r="M95">
        <f t="shared" si="120"/>
        <v>3.9998307623464169</v>
      </c>
      <c r="O95">
        <f>J95/D95</f>
        <v>3.8964714604165437E-4</v>
      </c>
      <c r="P95">
        <f t="shared" si="121"/>
        <v>-3.4093285003895111</v>
      </c>
      <c r="R95" s="4">
        <f>_xlfn.T.DIST.RT(E95*(G95-0.2),F95)</f>
        <v>0.42667827407819658</v>
      </c>
      <c r="S95">
        <f>R95*M95</f>
        <v>1.7066408862828464</v>
      </c>
      <c r="T95">
        <f>(1-R95)*P95</f>
        <v>-1.9546421000777083</v>
      </c>
      <c r="U95" s="2">
        <f>_xlfn.T.DIST.RT(E95*(G95-0.4),F95)</f>
        <v>0.99961039181867295</v>
      </c>
      <c r="V95">
        <f>U95*M95</f>
        <v>3.9982723955574833</v>
      </c>
      <c r="W95">
        <f>(1-U95)*P95</f>
        <v>-1.3283022765832367E-3</v>
      </c>
      <c r="X95" s="2">
        <f>_xlfn.T.DIST.RT(E95*(G95-0.8),F95)</f>
        <v>1</v>
      </c>
      <c r="Y95">
        <f>X95*M95</f>
        <v>3.9998307623464169</v>
      </c>
      <c r="Z95">
        <f>(1-X95)*P95</f>
        <v>0</v>
      </c>
      <c r="AB95">
        <f>C95*M95</f>
        <v>3.9998307623464172E-4</v>
      </c>
      <c r="AC95">
        <f>D95*P95</f>
        <v>-3.4089875675394721</v>
      </c>
      <c r="AD95">
        <f>(C95+0.01)*M95</f>
        <v>4.0398290699698809E-2</v>
      </c>
      <c r="AE95">
        <f>(D95-0.01)*P95</f>
        <v>-3.374894282535577</v>
      </c>
      <c r="AF95">
        <f>(C95+0.05)*M95</f>
        <v>0.20039152119355552</v>
      </c>
      <c r="AG95">
        <f>(D95-0.05)*P95</f>
        <v>-3.2385211425199967</v>
      </c>
      <c r="AH95">
        <f>(C95+0.1)*M95</f>
        <v>0.40038305931087637</v>
      </c>
      <c r="AI95">
        <f>(D95-0.1)*P95</f>
        <v>-3.0680547175005213</v>
      </c>
      <c r="AK95">
        <f>S95+T95</f>
        <v>-0.24800121379486195</v>
      </c>
      <c r="AL95">
        <f>V95+W95</f>
        <v>3.9969440932808999</v>
      </c>
      <c r="AM95">
        <f t="shared" si="122"/>
        <v>3.9998307623464169</v>
      </c>
      <c r="AN95">
        <f t="shared" si="123"/>
        <v>-3.4085875844632376</v>
      </c>
      <c r="AO95">
        <f t="shared" si="124"/>
        <v>-3.3344959918358783</v>
      </c>
      <c r="AP95">
        <f t="shared" si="125"/>
        <v>-3.038129621326441</v>
      </c>
      <c r="AQ95">
        <f t="shared" si="86"/>
        <v>-2.6676716581896449</v>
      </c>
    </row>
    <row r="96" spans="1:43" x14ac:dyDescent="0.3">
      <c r="A96">
        <v>320</v>
      </c>
      <c r="B96">
        <v>0.4</v>
      </c>
      <c r="C96">
        <v>1.0000000000000001E-5</v>
      </c>
      <c r="D96">
        <f t="shared" si="119"/>
        <v>0.99999000000000005</v>
      </c>
      <c r="E96">
        <f t="shared" si="115"/>
        <v>17.888543819998318</v>
      </c>
      <c r="F96">
        <f t="shared" si="116"/>
        <v>319</v>
      </c>
      <c r="G96">
        <f t="shared" si="117"/>
        <v>0.24204809577701183</v>
      </c>
      <c r="H96">
        <f t="shared" si="118"/>
        <v>-0.15795190422298819</v>
      </c>
      <c r="I96" s="2">
        <f>_xlfn.T.DIST.RT(E96*H96,F96)</f>
        <v>0.99749111935033186</v>
      </c>
      <c r="J96">
        <f>1-I96</f>
        <v>2.5088806496681437E-3</v>
      </c>
      <c r="L96">
        <f>I96/C96</f>
        <v>99749.111935033172</v>
      </c>
      <c r="M96">
        <f t="shared" si="120"/>
        <v>4.9989090378582191</v>
      </c>
      <c r="O96">
        <f>J96/D96</f>
        <v>2.5089057387255309E-3</v>
      </c>
      <c r="P96">
        <f t="shared" si="121"/>
        <v>-2.6005156551143922</v>
      </c>
      <c r="R96" s="4">
        <f>_xlfn.T.DIST.RT(E96*(G96-0.2),F96)</f>
        <v>0.22624896850658205</v>
      </c>
      <c r="S96">
        <f>R96*M96</f>
        <v>1.1309980134736526</v>
      </c>
      <c r="T96">
        <f>(1-R96)*P96</f>
        <v>-2.0121516705595424</v>
      </c>
      <c r="U96" s="2">
        <f>_xlfn.T.DIST.RT(E96*(G96-0.4),F96)</f>
        <v>0.99749111935033186</v>
      </c>
      <c r="V96">
        <f>U96*M96</f>
        <v>4.9863673717036852</v>
      </c>
      <c r="W96">
        <f>(1-U96)*P96</f>
        <v>-6.5243834062755747E-3</v>
      </c>
      <c r="X96" s="2">
        <f>_xlfn.T.DIST.RT(E96*(G96-0.8),F96)</f>
        <v>1</v>
      </c>
      <c r="Y96">
        <f>X96*M96</f>
        <v>4.9989090378582191</v>
      </c>
      <c r="Z96">
        <f>(1-X96)*P96</f>
        <v>0</v>
      </c>
      <c r="AB96">
        <f>C96*M96</f>
        <v>4.9989090378582194E-5</v>
      </c>
      <c r="AC96">
        <f>D96*P96</f>
        <v>-2.6004896499578414</v>
      </c>
      <c r="AD96">
        <f>(C96+0.01)*M96</f>
        <v>5.0039079468960773E-2</v>
      </c>
      <c r="AE96">
        <f>(D96-0.01)*P96</f>
        <v>-2.5744844934066973</v>
      </c>
      <c r="AF96">
        <f>(C96+0.05)*M96</f>
        <v>0.24999544098328957</v>
      </c>
      <c r="AG96">
        <f>(D96-0.05)*P96</f>
        <v>-2.4704638672021213</v>
      </c>
      <c r="AH96">
        <f>(C96+0.1)*M96</f>
        <v>0.49994089287620047</v>
      </c>
      <c r="AI96">
        <f>(D96-0.1)*P96</f>
        <v>-2.3404380844464021</v>
      </c>
      <c r="AK96">
        <f>S96+T96</f>
        <v>-0.88115365708588977</v>
      </c>
      <c r="AL96">
        <f>V96+W96</f>
        <v>4.9798429882974098</v>
      </c>
      <c r="AM96">
        <f t="shared" si="122"/>
        <v>4.9989090378582191</v>
      </c>
      <c r="AN96">
        <f t="shared" si="123"/>
        <v>-2.6004396608674627</v>
      </c>
      <c r="AO96">
        <f t="shared" si="124"/>
        <v>-2.5244454139377366</v>
      </c>
      <c r="AP96">
        <f t="shared" si="125"/>
        <v>-2.2204684262188317</v>
      </c>
      <c r="AQ96">
        <f t="shared" si="86"/>
        <v>-1.8404971915702015</v>
      </c>
    </row>
    <row r="97" spans="1:43" x14ac:dyDescent="0.3">
      <c r="A97">
        <v>320</v>
      </c>
      <c r="B97">
        <v>0.4</v>
      </c>
      <c r="C97">
        <v>9.9999999999999995E-7</v>
      </c>
      <c r="D97">
        <f t="shared" si="119"/>
        <v>0.99999899999999997</v>
      </c>
      <c r="E97">
        <f t="shared" si="115"/>
        <v>17.888543819998318</v>
      </c>
      <c r="F97">
        <f t="shared" si="116"/>
        <v>319</v>
      </c>
      <c r="G97">
        <f t="shared" si="117"/>
        <v>0.27071842890120579</v>
      </c>
      <c r="H97">
        <f t="shared" si="118"/>
        <v>-0.12928157109879423</v>
      </c>
      <c r="I97" s="2">
        <f>_xlfn.T.DIST.RT(E97*H97,F97)</f>
        <v>0.98931127152438325</v>
      </c>
      <c r="J97">
        <f>1-I97</f>
        <v>1.0688728475616749E-2</v>
      </c>
      <c r="L97">
        <f>I97/C97</f>
        <v>989311.27152438334</v>
      </c>
      <c r="M97">
        <f t="shared" si="120"/>
        <v>5.995332957154794</v>
      </c>
      <c r="O97">
        <f>J97/D97</f>
        <v>1.0688739164355913E-2</v>
      </c>
      <c r="P97">
        <f t="shared" si="121"/>
        <v>-1.9710735208208994</v>
      </c>
      <c r="R97" s="4">
        <f>_xlfn.T.DIST.RT(E97*(G97-0.2),F97)</f>
        <v>0.10338841549006778</v>
      </c>
      <c r="S97">
        <f>R97*M97</f>
        <v>0.61984797477561659</v>
      </c>
      <c r="T97">
        <f>(1-R97)*P97</f>
        <v>-1.7672873526887976</v>
      </c>
      <c r="U97" s="2">
        <f>_xlfn.T.DIST.RT(E97*(G97-0.4),F97)</f>
        <v>0.98931127152438325</v>
      </c>
      <c r="V97">
        <f>U97*M97</f>
        <v>5.9312504710548497</v>
      </c>
      <c r="W97">
        <f>(1-U97)*P97</f>
        <v>-2.106826966953251E-2</v>
      </c>
      <c r="X97" s="2">
        <f>_xlfn.T.DIST.RT(E97*(G97-0.8),F97)</f>
        <v>1</v>
      </c>
      <c r="Y97">
        <f>X97*M97</f>
        <v>5.995332957154794</v>
      </c>
      <c r="Z97">
        <f>(1-X97)*P97</f>
        <v>0</v>
      </c>
      <c r="AB97">
        <f>C97*M97</f>
        <v>5.9953329571547936E-6</v>
      </c>
      <c r="AC97">
        <f>D97*P97</f>
        <v>-1.9710715497473785</v>
      </c>
      <c r="AD97">
        <f>(C97+0.01)*M97</f>
        <v>5.995932490450509E-2</v>
      </c>
      <c r="AE97">
        <f>(D97-0.01)*P97</f>
        <v>-1.9513608145391694</v>
      </c>
      <c r="AF97">
        <f>(C97+0.05)*M97</f>
        <v>0.29977264319069685</v>
      </c>
      <c r="AG97">
        <f>(D97-0.05)*P97</f>
        <v>-1.8725178737063335</v>
      </c>
      <c r="AH97">
        <f>(C97+0.1)*M97</f>
        <v>0.59953929104843662</v>
      </c>
      <c r="AI97">
        <f>(D97-0.1)*P97</f>
        <v>-1.7739641976652887</v>
      </c>
      <c r="AK97">
        <f>S97+T97</f>
        <v>-1.1474393779131811</v>
      </c>
      <c r="AL97">
        <f>V97+W97</f>
        <v>5.9101822013853171</v>
      </c>
      <c r="AM97">
        <f t="shared" si="122"/>
        <v>5.995332957154794</v>
      </c>
      <c r="AN97">
        <f t="shared" si="123"/>
        <v>-1.9710655544144213</v>
      </c>
      <c r="AO97">
        <f t="shared" si="124"/>
        <v>-1.8914014896346643</v>
      </c>
      <c r="AP97">
        <f t="shared" si="125"/>
        <v>-1.5727452305156366</v>
      </c>
      <c r="AQ97">
        <f t="shared" si="86"/>
        <v>-1.1744249066168519</v>
      </c>
    </row>
    <row r="98" spans="1:43" x14ac:dyDescent="0.3">
      <c r="A98">
        <v>320</v>
      </c>
      <c r="B98">
        <v>0.4</v>
      </c>
      <c r="C98">
        <v>9.9999999999999995E-8</v>
      </c>
      <c r="D98">
        <f t="shared" si="119"/>
        <v>0.99999990000000005</v>
      </c>
      <c r="E98">
        <f t="shared" si="115"/>
        <v>17.888543819998318</v>
      </c>
      <c r="F98">
        <f t="shared" si="116"/>
        <v>319</v>
      </c>
      <c r="G98">
        <f t="shared" si="117"/>
        <v>0.29716069360063585</v>
      </c>
      <c r="H98">
        <f t="shared" si="118"/>
        <v>-0.10283930639936417</v>
      </c>
      <c r="I98" s="2">
        <f>_xlfn.T.DIST.RT(E98*H98,F98)</f>
        <v>0.96662532161855996</v>
      </c>
      <c r="J98">
        <f>1-I98</f>
        <v>3.3374678381440037E-2</v>
      </c>
      <c r="L98">
        <f>I98/C98</f>
        <v>9666253.2161855996</v>
      </c>
      <c r="M98">
        <f t="shared" si="120"/>
        <v>6.98525816768593</v>
      </c>
      <c r="O98">
        <f>J98/D98</f>
        <v>3.3374681718908207E-2</v>
      </c>
      <c r="P98">
        <f t="shared" si="121"/>
        <v>-1.4765828673017045</v>
      </c>
      <c r="R98" s="4">
        <f>_xlfn.T.DIST.RT(E98*(G98-0.2),F98)</f>
        <v>4.1582308317110205E-2</v>
      </c>
      <c r="S98">
        <f>R98*M98</f>
        <v>0.29046315880332862</v>
      </c>
      <c r="T98">
        <f>(1-R98)*P98</f>
        <v>-1.4151831432578024</v>
      </c>
      <c r="U98" s="2">
        <f>_xlfn.T.DIST.RT(E98*(G98-0.4),F98)</f>
        <v>0.96662532161855996</v>
      </c>
      <c r="V98">
        <f>U98*M98</f>
        <v>6.7521274229280852</v>
      </c>
      <c r="W98">
        <f>(1-U98)*P98</f>
        <v>-4.9280478299738938E-2</v>
      </c>
      <c r="X98" s="2">
        <f>_xlfn.T.DIST.RT(E98*(G98-0.8),F98)</f>
        <v>1</v>
      </c>
      <c r="Y98">
        <f>X98*M98</f>
        <v>6.98525816768593</v>
      </c>
      <c r="Z98">
        <f>(1-X98)*P98</f>
        <v>0</v>
      </c>
      <c r="AB98">
        <f>C98*M98</f>
        <v>6.9852581676859294E-7</v>
      </c>
      <c r="AC98">
        <f>D98*P98</f>
        <v>-1.4765827196434178</v>
      </c>
      <c r="AD98">
        <f>(C98+0.01)*M98</f>
        <v>6.985328020267606E-2</v>
      </c>
      <c r="AE98">
        <f>(D98-0.01)*P98</f>
        <v>-1.4618168909704008</v>
      </c>
      <c r="AF98">
        <f>(C98+0.05)*M98</f>
        <v>0.34926360691011332</v>
      </c>
      <c r="AG98">
        <f>(D98-0.05)*P98</f>
        <v>-1.4027535762783325</v>
      </c>
      <c r="AH98">
        <f>(C98+0.1)*M98</f>
        <v>0.69852651529440979</v>
      </c>
      <c r="AI98">
        <f>(D98-0.1)*P98</f>
        <v>-1.3289244329132475</v>
      </c>
      <c r="AK98">
        <f>S98+T98</f>
        <v>-1.1247199844544737</v>
      </c>
      <c r="AL98">
        <f>V98+W98</f>
        <v>6.7028469446283463</v>
      </c>
      <c r="AM98">
        <f t="shared" si="122"/>
        <v>6.98525816768593</v>
      </c>
      <c r="AN98">
        <f t="shared" si="123"/>
        <v>-1.4765820211176011</v>
      </c>
      <c r="AO98">
        <f t="shared" si="124"/>
        <v>-1.3919636107677247</v>
      </c>
      <c r="AP98">
        <f t="shared" si="125"/>
        <v>-1.0534899693682191</v>
      </c>
      <c r="AQ98">
        <f t="shared" si="86"/>
        <v>-0.63039791761883768</v>
      </c>
    </row>
    <row r="99" spans="1:43" x14ac:dyDescent="0.3">
      <c r="A99">
        <v>320</v>
      </c>
      <c r="B99">
        <v>0.4</v>
      </c>
      <c r="C99">
        <v>1E-8</v>
      </c>
      <c r="D99">
        <f t="shared" si="119"/>
        <v>0.99999998999999995</v>
      </c>
      <c r="E99">
        <f t="shared" si="115"/>
        <v>17.888543819998318</v>
      </c>
      <c r="F99">
        <f t="shared" si="116"/>
        <v>319</v>
      </c>
      <c r="G99">
        <f t="shared" si="117"/>
        <v>0.32188802460640437</v>
      </c>
      <c r="H99">
        <f t="shared" si="118"/>
        <v>-7.8111975393595656E-2</v>
      </c>
      <c r="I99" s="2">
        <f>_xlfn.T.DIST.RT(E99*H99,F99)</f>
        <v>0.91835418861588269</v>
      </c>
      <c r="J99">
        <f>1-I99</f>
        <v>8.1645811384117306E-2</v>
      </c>
      <c r="L99">
        <f>I99/C99</f>
        <v>91835418.861588269</v>
      </c>
      <c r="M99">
        <f t="shared" si="120"/>
        <v>7.9630102111519374</v>
      </c>
      <c r="O99">
        <f>J99/D99</f>
        <v>8.1645812200575429E-2</v>
      </c>
      <c r="P99">
        <f t="shared" si="121"/>
        <v>-1.0880660863078913</v>
      </c>
      <c r="R99" s="4">
        <f>_xlfn.T.DIST.RT(E99*(G99-0.2),F99)</f>
        <v>1.4979169923984374E-2</v>
      </c>
      <c r="S99">
        <f>R99*M99</f>
        <v>0.11927928305926756</v>
      </c>
      <c r="T99">
        <f>(1-R99)*P99</f>
        <v>-1.0717677595125608</v>
      </c>
      <c r="U99" s="2">
        <f>_xlfn.T.DIST.RT(E99*(G99-0.4),F99)</f>
        <v>0.91835418861588269</v>
      </c>
      <c r="V99">
        <f>U99*M99</f>
        <v>7.3128637814024264</v>
      </c>
      <c r="W99">
        <f>(1-U99)*P99</f>
        <v>-8.8836038456148791E-2</v>
      </c>
      <c r="X99" s="2">
        <f>_xlfn.T.DIST.RT(E99*(G99-0.8),F99)</f>
        <v>0.99999999999999978</v>
      </c>
      <c r="Y99">
        <f>X99*M99</f>
        <v>7.9630102111519356</v>
      </c>
      <c r="Z99">
        <f>(1-X99)*P99</f>
        <v>-2.4159920426656073E-16</v>
      </c>
      <c r="AB99">
        <f>C99*M99</f>
        <v>7.963010211151937E-8</v>
      </c>
      <c r="AC99">
        <f>D99*P99</f>
        <v>-1.0880660754272304</v>
      </c>
      <c r="AD99">
        <f>(C99+0.01)*M99</f>
        <v>7.9630181741621481E-2</v>
      </c>
      <c r="AE99">
        <f>(D99-0.01)*P99</f>
        <v>-1.0771854145641515</v>
      </c>
      <c r="AF99">
        <f>(C99+0.05)*M99</f>
        <v>0.39815059018769899</v>
      </c>
      <c r="AG99">
        <f>(D99-0.05)*P99</f>
        <v>-1.0336627711118358</v>
      </c>
      <c r="AH99">
        <f>(C99+0.1)*M99</f>
        <v>0.79630110074529581</v>
      </c>
      <c r="AI99">
        <f>(D99-0.1)*P99</f>
        <v>-0.97925946679644127</v>
      </c>
      <c r="AK99">
        <f>S99+T99</f>
        <v>-0.95248847645329315</v>
      </c>
      <c r="AL99">
        <f>V99+W99</f>
        <v>7.2240277429462774</v>
      </c>
      <c r="AM99">
        <f t="shared" si="122"/>
        <v>7.9630102111519356</v>
      </c>
      <c r="AN99">
        <f t="shared" si="123"/>
        <v>-1.0880659957971284</v>
      </c>
      <c r="AO99">
        <f t="shared" si="124"/>
        <v>-0.99755523282253</v>
      </c>
      <c r="AP99">
        <f t="shared" si="125"/>
        <v>-0.63551218092413686</v>
      </c>
      <c r="AQ99">
        <f t="shared" si="86"/>
        <v>-0.18295836605114546</v>
      </c>
    </row>
    <row r="100" spans="1:43" x14ac:dyDescent="0.3">
      <c r="A100">
        <v>320</v>
      </c>
      <c r="B100">
        <v>0.4</v>
      </c>
      <c r="C100" s="3">
        <v>1.8899999999999999E-9</v>
      </c>
      <c r="D100">
        <f t="shared" si="119"/>
        <v>0.99999999810999995</v>
      </c>
      <c r="E100">
        <v>17.888543819999999</v>
      </c>
      <c r="F100">
        <v>319</v>
      </c>
      <c r="G100">
        <v>0.33893192799999999</v>
      </c>
      <c r="H100">
        <v>-6.1068072000000001E-2</v>
      </c>
      <c r="I100" s="2">
        <v>0.86226332800000005</v>
      </c>
      <c r="J100">
        <f>1-I100</f>
        <v>0.13773667199999995</v>
      </c>
      <c r="L100">
        <f>I100/C100</f>
        <v>456223983.0687831</v>
      </c>
      <c r="M100">
        <f t="shared" si="120"/>
        <v>8.6591781118057263</v>
      </c>
      <c r="O100">
        <f>J100/D100</f>
        <v>0.13773667226032227</v>
      </c>
      <c r="P100">
        <f t="shared" si="121"/>
        <v>-0.86095041384697768</v>
      </c>
      <c r="R100" s="4">
        <f>_xlfn.T.DIST.RT(E100*(G100-0.2),F100)</f>
        <v>6.7283277986232865E-3</v>
      </c>
      <c r="S100">
        <f>R100*M100</f>
        <v>5.8261788802892768E-2</v>
      </c>
      <c r="T100">
        <f>(1-R100)*P100</f>
        <v>-0.85515765724425485</v>
      </c>
      <c r="U100" s="2">
        <f>_xlfn.T.DIST.RT(E100*(G100-0.4),F100)</f>
        <v>0.86226332697439001</v>
      </c>
      <c r="V100">
        <f>U100*M100</f>
        <v>7.466491727549422</v>
      </c>
      <c r="W100">
        <f>(1-U100)*P100</f>
        <v>-0.11858444564330477</v>
      </c>
      <c r="X100" s="2">
        <f>_xlfn.T.DIST.RT(E100*(G100-0.8),F100)</f>
        <v>0.99999999999999789</v>
      </c>
      <c r="Y100">
        <f>X100*M100</f>
        <v>8.6591781118057085</v>
      </c>
      <c r="Z100">
        <f>(1-X100)*P100</f>
        <v>-1.8161092477755964E-15</v>
      </c>
      <c r="AB100">
        <f>C100*M100</f>
        <v>1.6365846631312823E-8</v>
      </c>
      <c r="AC100">
        <f>D100*P100</f>
        <v>-0.86095041221978141</v>
      </c>
      <c r="AD100">
        <f>(C100+0.01)*M100</f>
        <v>8.6591797483903901E-2</v>
      </c>
      <c r="AE100">
        <f>(D100-0.01)*P100</f>
        <v>-0.85234090808131158</v>
      </c>
      <c r="AF100">
        <f>(C100+0.05)*M100</f>
        <v>0.43295892195613295</v>
      </c>
      <c r="AG100">
        <f>(D100-0.05)*P100</f>
        <v>-0.81790289152743245</v>
      </c>
      <c r="AH100">
        <f>(C100+0.1)*M100</f>
        <v>0.86591782754641933</v>
      </c>
      <c r="AI100">
        <f>(D100-0.1)*P100</f>
        <v>-0.7748553708350836</v>
      </c>
      <c r="AK100">
        <f>S100+T100</f>
        <v>-0.79689586844136207</v>
      </c>
      <c r="AL100">
        <f>V100+W100</f>
        <v>7.3479072819061173</v>
      </c>
      <c r="AM100">
        <f t="shared" si="122"/>
        <v>8.6591781118057067</v>
      </c>
      <c r="AN100">
        <f t="shared" si="123"/>
        <v>-0.86095039585393474</v>
      </c>
      <c r="AO100">
        <f t="shared" si="124"/>
        <v>-0.76574911059740769</v>
      </c>
      <c r="AP100">
        <f t="shared" si="125"/>
        <v>-0.3849439695712995</v>
      </c>
      <c r="AQ100">
        <f t="shared" si="86"/>
        <v>9.1062456711335726E-2</v>
      </c>
    </row>
    <row r="101" spans="1:43" x14ac:dyDescent="0.3">
      <c r="A101">
        <v>320</v>
      </c>
      <c r="B101">
        <v>0.4</v>
      </c>
      <c r="C101">
        <v>1.0000000000000001E-9</v>
      </c>
      <c r="D101">
        <f t="shared" si="119"/>
        <v>0.99999999900000003</v>
      </c>
      <c r="E101">
        <f>SQRT(A101)</f>
        <v>17.888543819998318</v>
      </c>
      <c r="F101">
        <f>A101-1</f>
        <v>319</v>
      </c>
      <c r="G101">
        <f>-_xlfn.T.INV(C101,F101)/E101</f>
        <v>0.34524941062196274</v>
      </c>
      <c r="H101">
        <f>G101-B101</f>
        <v>-5.4750589378037284E-2</v>
      </c>
      <c r="I101" s="2">
        <f>_xlfn.T.DIST.RT(E101*H101,F101)</f>
        <v>0.83593977594626678</v>
      </c>
      <c r="J101">
        <f>1-I101</f>
        <v>0.16406022405373322</v>
      </c>
      <c r="L101">
        <f>I101/C101</f>
        <v>835939775.94626677</v>
      </c>
      <c r="M101">
        <f t="shared" si="120"/>
        <v>8.9221749904577479</v>
      </c>
      <c r="O101">
        <f>J101/D101</f>
        <v>0.16406022421779343</v>
      </c>
      <c r="P101">
        <f t="shared" si="121"/>
        <v>-0.78499669924314908</v>
      </c>
      <c r="R101" s="4">
        <f>_xlfn.T.DIST.RT(E101*(G101-0.2),F101)</f>
        <v>4.9017076283198093E-3</v>
      </c>
      <c r="S101">
        <f>R101*M101</f>
        <v>4.3733893211930962E-2</v>
      </c>
      <c r="T101">
        <f>(1-R101)*P101</f>
        <v>-0.7811488749342631</v>
      </c>
      <c r="U101" s="2">
        <f>_xlfn.T.DIST.RT(E101*(G101-0.4),F101)</f>
        <v>0.83593977594626678</v>
      </c>
      <c r="V101">
        <f>U101*M101</f>
        <v>7.4584009624766345</v>
      </c>
      <c r="W101">
        <f>(1-U101)*P101</f>
        <v>-0.12878673435927207</v>
      </c>
      <c r="X101" s="2">
        <f>_xlfn.T.DIST.RT(E101*(G101-0.8),F101)</f>
        <v>0.99999999999999534</v>
      </c>
      <c r="Y101">
        <f>X101*M101</f>
        <v>8.922174990457707</v>
      </c>
      <c r="Z101">
        <f>(1-X101)*P101</f>
        <v>-3.6603899209688722E-15</v>
      </c>
      <c r="AB101">
        <f>C101*M101</f>
        <v>8.9221749904577486E-9</v>
      </c>
      <c r="AC101">
        <f>D101*P101</f>
        <v>-0.78499669845815245</v>
      </c>
      <c r="AD101">
        <f>(C101+0.01)*M101</f>
        <v>8.922175882675247E-2</v>
      </c>
      <c r="AE101">
        <f>(D101-0.01)*P101</f>
        <v>-0.77714673146572089</v>
      </c>
      <c r="AF101">
        <f>(C101+0.05)*M101</f>
        <v>0.44610875844506243</v>
      </c>
      <c r="AG101">
        <f>(D101-0.05)*P101</f>
        <v>-0.74574686349599495</v>
      </c>
      <c r="AH101">
        <f>(C101+0.1)*M101</f>
        <v>0.89221750796794985</v>
      </c>
      <c r="AI101">
        <f>(D101-0.1)*P101</f>
        <v>-0.70649702853383756</v>
      </c>
      <c r="AK101">
        <f>S101+T101</f>
        <v>-0.73741498172233211</v>
      </c>
      <c r="AL101">
        <f>V101+W101</f>
        <v>7.3296142281173626</v>
      </c>
      <c r="AM101">
        <f t="shared" si="122"/>
        <v>8.9221749904577035</v>
      </c>
      <c r="AN101">
        <f t="shared" si="123"/>
        <v>-0.78499668953597745</v>
      </c>
      <c r="AO101">
        <f t="shared" si="124"/>
        <v>-0.68792497263896846</v>
      </c>
      <c r="AP101">
        <f t="shared" si="125"/>
        <v>-0.29963810505093252</v>
      </c>
      <c r="AQ101">
        <f t="shared" si="86"/>
        <v>0.1857204794341123</v>
      </c>
    </row>
  </sheetData>
  <sortState xmlns:xlrd2="http://schemas.microsoft.com/office/spreadsheetml/2017/richdata2" ref="A2:V173">
    <sortCondition ref="A2:A173"/>
    <sortCondition descending="1" ref="C2:C173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72"/>
  <sheetViews>
    <sheetView zoomScale="70" zoomScaleNormal="70" workbookViewId="0"/>
  </sheetViews>
  <sheetFormatPr defaultRowHeight="14.4" x14ac:dyDescent="0.3"/>
  <cols>
    <col min="3" max="3" width="12" bestFit="1" customWidth="1"/>
    <col min="4" max="8" width="9.109375" customWidth="1"/>
    <col min="9" max="9" width="12" style="2" customWidth="1"/>
    <col min="10" max="10" width="12.88671875" customWidth="1"/>
    <col min="11" max="17" width="9.109375" customWidth="1"/>
    <col min="18" max="18" width="10.44140625" style="4" customWidth="1"/>
    <col min="19" max="19" width="11.6640625" customWidth="1"/>
    <col min="20" max="20" width="11.5546875" customWidth="1"/>
    <col min="21" max="21" width="12" style="2" customWidth="1"/>
    <col min="22" max="23" width="9.109375" customWidth="1"/>
    <col min="24" max="24" width="12" style="2" customWidth="1"/>
    <col min="25" max="36" width="9.109375" customWidth="1"/>
    <col min="37" max="37" width="9" customWidth="1"/>
    <col min="38" max="38" width="8.88671875" customWidth="1"/>
    <col min="40" max="40" width="11" customWidth="1"/>
  </cols>
  <sheetData>
    <row r="1" spans="1:43" x14ac:dyDescent="0.3">
      <c r="A1" t="s">
        <v>0</v>
      </c>
      <c r="B1" t="s">
        <v>66</v>
      </c>
      <c r="C1" s="6" t="s">
        <v>42</v>
      </c>
      <c r="D1" t="s">
        <v>59</v>
      </c>
      <c r="E1" t="s">
        <v>1</v>
      </c>
      <c r="F1" t="s">
        <v>2</v>
      </c>
      <c r="G1" t="s">
        <v>44</v>
      </c>
      <c r="H1" t="s">
        <v>62</v>
      </c>
      <c r="I1" s="2" t="s">
        <v>60</v>
      </c>
      <c r="J1" t="s">
        <v>61</v>
      </c>
      <c r="L1" t="s">
        <v>3</v>
      </c>
      <c r="M1" t="s">
        <v>4</v>
      </c>
      <c r="O1" t="s">
        <v>5</v>
      </c>
      <c r="P1" t="s">
        <v>6</v>
      </c>
      <c r="R1" s="4" t="s">
        <v>28</v>
      </c>
      <c r="S1" t="s">
        <v>7</v>
      </c>
      <c r="T1" t="s">
        <v>8</v>
      </c>
      <c r="U1" s="2" t="s">
        <v>29</v>
      </c>
      <c r="V1" t="s">
        <v>10</v>
      </c>
      <c r="W1" t="s">
        <v>11</v>
      </c>
      <c r="X1" s="2" t="s">
        <v>30</v>
      </c>
      <c r="Y1" t="s">
        <v>13</v>
      </c>
      <c r="Z1" t="s">
        <v>14</v>
      </c>
      <c r="AB1" t="s">
        <v>16</v>
      </c>
      <c r="AC1" t="s">
        <v>17</v>
      </c>
      <c r="AD1" t="s">
        <v>19</v>
      </c>
      <c r="AE1" t="s">
        <v>20</v>
      </c>
      <c r="AF1" t="s">
        <v>22</v>
      </c>
      <c r="AG1" t="s">
        <v>23</v>
      </c>
      <c r="AH1" t="s">
        <v>25</v>
      </c>
      <c r="AI1" t="s">
        <v>26</v>
      </c>
      <c r="AK1" t="s">
        <v>9</v>
      </c>
      <c r="AL1" t="s">
        <v>12</v>
      </c>
      <c r="AM1" t="s">
        <v>15</v>
      </c>
      <c r="AN1" t="s">
        <v>18</v>
      </c>
      <c r="AO1" t="s">
        <v>21</v>
      </c>
      <c r="AP1" t="s">
        <v>24</v>
      </c>
      <c r="AQ1" t="s">
        <v>27</v>
      </c>
    </row>
    <row r="2" spans="1:43" x14ac:dyDescent="0.3">
      <c r="A2">
        <v>5</v>
      </c>
      <c r="B2">
        <v>0.8</v>
      </c>
      <c r="C2">
        <v>0.5</v>
      </c>
      <c r="D2">
        <f t="shared" ref="D2:D29" si="0">1-C2</f>
        <v>0.5</v>
      </c>
      <c r="E2">
        <f t="shared" ref="E2:E15" si="1">SQRT(A2)</f>
        <v>2.2360679774997898</v>
      </c>
      <c r="F2">
        <f t="shared" ref="F2:F15" si="2">A2-1</f>
        <v>4</v>
      </c>
      <c r="G2">
        <f>-_xlfn.T.INV(C2,F2)/E2</f>
        <v>0</v>
      </c>
      <c r="H2">
        <f t="shared" ref="H2:H15" si="3">G2-B2</f>
        <v>-0.8</v>
      </c>
      <c r="I2" s="2">
        <f>_xlfn.T.DIST.RT(E2*H2,F2)</f>
        <v>0.92592592592592604</v>
      </c>
      <c r="J2">
        <f>1-I2</f>
        <v>7.4074074074073959E-2</v>
      </c>
      <c r="L2">
        <f>I2/C2</f>
        <v>1.8518518518518521</v>
      </c>
      <c r="M2">
        <f>LOG10(L2)</f>
        <v>0.26760624017703155</v>
      </c>
      <c r="O2">
        <f>J2/D2</f>
        <v>0.14814814814814792</v>
      </c>
      <c r="P2">
        <f t="shared" ref="P2:P29" si="4">LOG10(O2)</f>
        <v>-0.82930377283102563</v>
      </c>
      <c r="R2" s="4">
        <f>_xlfn.T.DIST.RT(E2*(G2-0.2),F2)</f>
        <v>0.66106558565037532</v>
      </c>
      <c r="S2">
        <f>R2*M2</f>
        <v>0.17690527588632435</v>
      </c>
      <c r="T2">
        <f>(1-R2)*P2</f>
        <v>-0.28107958856241788</v>
      </c>
      <c r="U2" s="2">
        <f>_xlfn.T.DIST.RT(E2*(G2-0.4),F2)</f>
        <v>0.78917587241190279</v>
      </c>
      <c r="V2">
        <f>U2*M2</f>
        <v>0.21118838805457807</v>
      </c>
      <c r="W2">
        <f>(1-U2)*P2</f>
        <v>-0.17483724441261853</v>
      </c>
      <c r="X2" s="2">
        <f>_xlfn.T.DIST.RT(E2*(G2-0.8),F2)</f>
        <v>0.92592592592592604</v>
      </c>
      <c r="Y2">
        <f>X2*M2</f>
        <v>0.24778355571947369</v>
      </c>
      <c r="Z2">
        <f>(1-X2)*P2</f>
        <v>-6.1429909098594394E-2</v>
      </c>
      <c r="AB2">
        <f>C2*M2</f>
        <v>0.13380312008851578</v>
      </c>
      <c r="AC2">
        <f>D2*P2</f>
        <v>-0.41465188641551282</v>
      </c>
      <c r="AD2">
        <f>(C2+0.01)*M2</f>
        <v>0.13647918249028609</v>
      </c>
      <c r="AE2">
        <f>(D2-0.01)*P2</f>
        <v>-0.40635884868720257</v>
      </c>
      <c r="AF2">
        <f>(C2+0.05)*M2</f>
        <v>0.14718343209736737</v>
      </c>
      <c r="AG2">
        <f>(D2-0.05)*P2</f>
        <v>-0.37318669777396152</v>
      </c>
      <c r="AH2">
        <f>(C2+0.1)*M2</f>
        <v>0.16056374410621893</v>
      </c>
      <c r="AI2">
        <f>(D2-0.1)*P2</f>
        <v>-0.33172150913241027</v>
      </c>
      <c r="AK2">
        <f t="shared" ref="AK2:AK29" si="5">S2+T2</f>
        <v>-0.10417431267609353</v>
      </c>
      <c r="AL2">
        <f t="shared" ref="AL2:AL29" si="6">V2+W2</f>
        <v>3.6351143641959544E-2</v>
      </c>
      <c r="AM2">
        <f t="shared" ref="AM2:AM29" si="7">Y2+Z2</f>
        <v>0.1863536466208793</v>
      </c>
      <c r="AN2">
        <f t="shared" ref="AN2:AN29" si="8">AB2+AC2</f>
        <v>-0.28084876632699707</v>
      </c>
      <c r="AO2">
        <f t="shared" ref="AO2:AO29" si="9">AD2+AE2</f>
        <v>-0.2698796661969165</v>
      </c>
      <c r="AP2">
        <f t="shared" ref="AP2:AP29" si="10">AF2+AG2</f>
        <v>-0.22600326567659415</v>
      </c>
      <c r="AQ2">
        <f>AH2+AI2</f>
        <v>-0.17115776502619134</v>
      </c>
    </row>
    <row r="3" spans="1:43" x14ac:dyDescent="0.3">
      <c r="A3">
        <v>5</v>
      </c>
      <c r="B3">
        <v>0.8</v>
      </c>
      <c r="C3">
        <v>0.2</v>
      </c>
      <c r="D3">
        <f t="shared" si="0"/>
        <v>0.8</v>
      </c>
      <c r="E3">
        <f t="shared" si="1"/>
        <v>2.2360679774997898</v>
      </c>
      <c r="F3">
        <f t="shared" si="2"/>
        <v>4</v>
      </c>
      <c r="G3">
        <f t="shared" ref="G3:G15" si="11">-_xlfn.T.INV(C3,F3)/E3</f>
        <v>0.42081215182344295</v>
      </c>
      <c r="H3">
        <f t="shared" si="3"/>
        <v>-0.3791878481765571</v>
      </c>
      <c r="I3" s="2">
        <f>_xlfn.T.DIST.RT(E3*H3,F3)</f>
        <v>0.77787224946561195</v>
      </c>
      <c r="J3">
        <f>1-I3</f>
        <v>0.22212775053438805</v>
      </c>
      <c r="L3">
        <f>I3/C3</f>
        <v>3.8893612473280594</v>
      </c>
      <c r="M3">
        <f t="shared" ref="M3:M15" si="12">LOG10(L3)</f>
        <v>0.58987828267819198</v>
      </c>
      <c r="O3">
        <f>J3/D3</f>
        <v>0.27765968816798503</v>
      </c>
      <c r="P3">
        <f t="shared" si="4"/>
        <v>-0.55648716842051626</v>
      </c>
      <c r="R3" s="4">
        <f>_xlfn.T.DIST.RT(E3*(G3-0.2),F3)</f>
        <v>0.32368249406830352</v>
      </c>
      <c r="S3">
        <f>R3*M3</f>
        <v>0.19093327373400493</v>
      </c>
      <c r="T3">
        <f>(1-R3)*P3</f>
        <v>-0.37636201382915546</v>
      </c>
      <c r="U3" s="2">
        <f>_xlfn.T.DIST.RT(E3*(G3-0.4),F3)</f>
        <v>0.48255634969852934</v>
      </c>
      <c r="V3">
        <f>U3*M3</f>
        <v>0.28464951085562556</v>
      </c>
      <c r="W3">
        <f>(1-U3)*P3</f>
        <v>-0.2879507517734412</v>
      </c>
      <c r="X3" s="2">
        <f>_xlfn.T.DIST.RT(E3*(G3-0.8),F3)</f>
        <v>0.77787224946561195</v>
      </c>
      <c r="Y3">
        <f>X3*M3</f>
        <v>0.45884994665779733</v>
      </c>
      <c r="Z3">
        <f>(1-X3)*P3</f>
        <v>-0.12361124292250042</v>
      </c>
      <c r="AB3">
        <f>C3*M3</f>
        <v>0.11797565653563841</v>
      </c>
      <c r="AC3">
        <f>D3*P3</f>
        <v>-0.44518973473641305</v>
      </c>
      <c r="AD3">
        <f>(C3+0.01)*M3</f>
        <v>0.12387443936242033</v>
      </c>
      <c r="AE3">
        <f>(D3-0.01)*P3</f>
        <v>-0.43962486305220788</v>
      </c>
      <c r="AF3">
        <f>(C3+0.05)*M3</f>
        <v>0.14746957066954799</v>
      </c>
      <c r="AG3">
        <f>(D3-0.05)*P3</f>
        <v>-0.41736537631538717</v>
      </c>
      <c r="AH3">
        <f>(C3+0.1)*M3</f>
        <v>0.17696348480345761</v>
      </c>
      <c r="AI3">
        <f>(D3-0.1)*P3</f>
        <v>-0.38954101789436141</v>
      </c>
      <c r="AK3">
        <f t="shared" si="5"/>
        <v>-0.18542874009515053</v>
      </c>
      <c r="AL3">
        <f t="shared" si="6"/>
        <v>-3.3012409178156399E-3</v>
      </c>
      <c r="AM3">
        <f t="shared" si="7"/>
        <v>0.33523870373529691</v>
      </c>
      <c r="AN3">
        <f t="shared" si="8"/>
        <v>-0.32721407820077464</v>
      </c>
      <c r="AO3">
        <f t="shared" si="9"/>
        <v>-0.31575042368978756</v>
      </c>
      <c r="AP3">
        <f t="shared" si="10"/>
        <v>-0.26989580564583915</v>
      </c>
      <c r="AQ3">
        <f t="shared" ref="AQ3:AQ58" si="13">AH3+AI3</f>
        <v>-0.2125775330909038</v>
      </c>
    </row>
    <row r="4" spans="1:43" x14ac:dyDescent="0.3">
      <c r="A4">
        <v>5</v>
      </c>
      <c r="B4">
        <v>0.8</v>
      </c>
      <c r="C4">
        <v>0.15516820000000001</v>
      </c>
      <c r="D4">
        <f t="shared" si="0"/>
        <v>0.84483180000000002</v>
      </c>
      <c r="E4">
        <f t="shared" ref="E4" si="14">SQRT(A4)</f>
        <v>2.2360679774997898</v>
      </c>
      <c r="F4">
        <f t="shared" ref="F4" si="15">A4-1</f>
        <v>4</v>
      </c>
      <c r="G4">
        <f t="shared" ref="G4" si="16">-_xlfn.T.INV(C4,F4)/E4</f>
        <v>0.5190546753807932</v>
      </c>
      <c r="H4">
        <f t="shared" ref="H4" si="17">G4-B4</f>
        <v>-0.28094532461920685</v>
      </c>
      <c r="I4" s="2">
        <f>_xlfn.T.DIST.RT(E4*H4,F4)</f>
        <v>0.71802537657252263</v>
      </c>
      <c r="J4">
        <f>1-I4</f>
        <v>0.28197462342747737</v>
      </c>
      <c r="L4">
        <f>I4/C4</f>
        <v>4.6274003086490829</v>
      </c>
      <c r="M4">
        <f t="shared" ref="M4" si="18">LOG10(L4)</f>
        <v>0.66533707121317187</v>
      </c>
      <c r="O4">
        <f>J4/D4</f>
        <v>0.33376421605753637</v>
      </c>
      <c r="P4">
        <f t="shared" si="4"/>
        <v>-0.47656022727873437</v>
      </c>
      <c r="R4" s="4">
        <f>_xlfn.T.DIST.RT(E4*(G4-0.2),F4)</f>
        <v>0.25749782528793186</v>
      </c>
      <c r="S4">
        <f>R4*M4</f>
        <v>0.1713228489208336</v>
      </c>
      <c r="T4">
        <f>(1-R4)*P4</f>
        <v>-0.35384700513573775</v>
      </c>
      <c r="U4" s="2">
        <f>_xlfn.T.DIST.RT(E4*(G4-0.4),F4)</f>
        <v>0.40161666567361232</v>
      </c>
      <c r="V4">
        <f>U4*M4</f>
        <v>0.26721045608968086</v>
      </c>
      <c r="W4">
        <f>(1-U4)*P4</f>
        <v>-0.28516569780639023</v>
      </c>
      <c r="X4" s="2">
        <f>_xlfn.T.DIST.RT(E4*(G4-0.8),F4)</f>
        <v>0.71802537657252263</v>
      </c>
      <c r="Y4">
        <f>X4*M4</f>
        <v>0.47772890110549704</v>
      </c>
      <c r="Z4">
        <f>(1-X4)*P4</f>
        <v>-0.13437789062743416</v>
      </c>
      <c r="AB4">
        <f>C4*M4</f>
        <v>0.1032391557334197</v>
      </c>
      <c r="AC4">
        <f>D4*P4</f>
        <v>-0.4026132346203023</v>
      </c>
      <c r="AD4">
        <f>(C4+0.01)*M4</f>
        <v>0.10989252644555142</v>
      </c>
      <c r="AE4">
        <f>(D4-0.01)*P4</f>
        <v>-0.39784763234751491</v>
      </c>
      <c r="AF4">
        <f>(C4+0.05)*M4</f>
        <v>0.1365060092940783</v>
      </c>
      <c r="AG4">
        <f>(D4-0.05)*P4</f>
        <v>-0.37878522325636554</v>
      </c>
      <c r="AH4">
        <f>(C4+0.1)*M4</f>
        <v>0.16977286285473689</v>
      </c>
      <c r="AI4">
        <f>(D4-0.1)*P4</f>
        <v>-0.35495721189242885</v>
      </c>
      <c r="AK4">
        <f t="shared" si="5"/>
        <v>-0.18252415621490414</v>
      </c>
      <c r="AL4">
        <f t="shared" si="6"/>
        <v>-1.7955241716709369E-2</v>
      </c>
      <c r="AM4">
        <f t="shared" si="7"/>
        <v>0.34335101047806288</v>
      </c>
      <c r="AN4">
        <f t="shared" si="8"/>
        <v>-0.29937407888688261</v>
      </c>
      <c r="AO4">
        <f t="shared" si="9"/>
        <v>-0.28795510590196349</v>
      </c>
      <c r="AP4">
        <f t="shared" si="10"/>
        <v>-0.24227921396228724</v>
      </c>
      <c r="AQ4">
        <f t="shared" si="13"/>
        <v>-0.18518434903769196</v>
      </c>
    </row>
    <row r="5" spans="1:43" x14ac:dyDescent="0.3">
      <c r="A5">
        <v>5</v>
      </c>
      <c r="B5">
        <v>0.8</v>
      </c>
      <c r="C5">
        <v>0.1</v>
      </c>
      <c r="D5">
        <f t="shared" si="0"/>
        <v>0.9</v>
      </c>
      <c r="E5">
        <f t="shared" si="1"/>
        <v>2.2360679774997898</v>
      </c>
      <c r="F5">
        <f t="shared" si="2"/>
        <v>4</v>
      </c>
      <c r="G5">
        <f t="shared" si="11"/>
        <v>0.68567069046499429</v>
      </c>
      <c r="H5">
        <f t="shared" si="3"/>
        <v>-0.11432930953500575</v>
      </c>
      <c r="I5" s="2">
        <f>_xlfn.T.DIST.RT(E5*H5,F5)</f>
        <v>0.59458472684538255</v>
      </c>
      <c r="J5">
        <f>1-I5</f>
        <v>0.40541527315461745</v>
      </c>
      <c r="L5">
        <f>I5/C5</f>
        <v>5.9458472684538251</v>
      </c>
      <c r="M5">
        <f t="shared" si="12"/>
        <v>0.77421374924839637</v>
      </c>
      <c r="O5">
        <f>J5/D5</f>
        <v>0.45046141461624162</v>
      </c>
      <c r="P5">
        <f t="shared" si="4"/>
        <v>-0.34634240365700908</v>
      </c>
      <c r="R5" s="4">
        <f>_xlfn.T.DIST.RT(E5*(G5-0.2),F5)</f>
        <v>0.16927488736668583</v>
      </c>
      <c r="S5">
        <f>R5*M5</f>
        <v>0.13105494520176184</v>
      </c>
      <c r="T5">
        <f>(1-R5)*P5</f>
        <v>-0.28771533228766161</v>
      </c>
      <c r="U5" s="2">
        <f>_xlfn.T.DIST.RT(E5*(G5-0.4),F5)</f>
        <v>0.27885469810285812</v>
      </c>
      <c r="V5">
        <f>U5*M5</f>
        <v>0.21589314131374346</v>
      </c>
      <c r="W5">
        <f>(1-U5)*P5</f>
        <v>-0.24976319724501558</v>
      </c>
      <c r="X5" s="2">
        <f>_xlfn.T.DIST.RT(E5*(G5-0.8),F5)</f>
        <v>0.59458472684538255</v>
      </c>
      <c r="Y5">
        <f>X5*M5</f>
        <v>0.46033567061679725</v>
      </c>
      <c r="Z5">
        <f>(1-X5)*P5</f>
        <v>-0.1404125001836331</v>
      </c>
      <c r="AB5">
        <f>C5*M5</f>
        <v>7.7421374924839637E-2</v>
      </c>
      <c r="AC5">
        <f>D5*P5</f>
        <v>-0.31170816329130818</v>
      </c>
      <c r="AD5">
        <f>(C5+0.01)*M5</f>
        <v>8.5163512417323603E-2</v>
      </c>
      <c r="AE5">
        <f>(D5-0.01)*P5</f>
        <v>-0.30824473925473811</v>
      </c>
      <c r="AF5">
        <f>(C5+0.05)*M5</f>
        <v>0.11613206238725947</v>
      </c>
      <c r="AG5">
        <f>(D5-0.05)*P5</f>
        <v>-0.29439104310845771</v>
      </c>
      <c r="AH5">
        <f>(C5+0.1)*M5</f>
        <v>0.15484274984967927</v>
      </c>
      <c r="AI5">
        <f>(D5-0.1)*P5</f>
        <v>-0.27707392292560729</v>
      </c>
      <c r="AK5">
        <f t="shared" si="5"/>
        <v>-0.15666038708589977</v>
      </c>
      <c r="AL5">
        <f t="shared" si="6"/>
        <v>-3.3870055931272125E-2</v>
      </c>
      <c r="AM5">
        <f t="shared" si="7"/>
        <v>0.31992317043316415</v>
      </c>
      <c r="AN5">
        <f t="shared" si="8"/>
        <v>-0.23428678836646855</v>
      </c>
      <c r="AO5">
        <f t="shared" si="9"/>
        <v>-0.22308122683741449</v>
      </c>
      <c r="AP5">
        <f t="shared" si="10"/>
        <v>-0.17825898072119822</v>
      </c>
      <c r="AQ5">
        <f t="shared" si="13"/>
        <v>-0.12223117307592801</v>
      </c>
    </row>
    <row r="6" spans="1:43" x14ac:dyDescent="0.3">
      <c r="A6">
        <v>5</v>
      </c>
      <c r="B6">
        <v>0.8</v>
      </c>
      <c r="C6">
        <v>0.05</v>
      </c>
      <c r="D6">
        <f t="shared" si="0"/>
        <v>0.95</v>
      </c>
      <c r="E6">
        <f t="shared" si="1"/>
        <v>2.2360679774997898</v>
      </c>
      <c r="F6">
        <f t="shared" si="2"/>
        <v>4</v>
      </c>
      <c r="G6">
        <f t="shared" si="11"/>
        <v>0.95339086636817161</v>
      </c>
      <c r="H6">
        <f t="shared" si="3"/>
        <v>0.15339086636817156</v>
      </c>
      <c r="I6" s="2">
        <f>_xlfn.T.DIST.RT(E6*H6,F6)</f>
        <v>0.37443588731063271</v>
      </c>
      <c r="J6">
        <f>1-I6</f>
        <v>0.62556411268936729</v>
      </c>
      <c r="L6">
        <f>I6/C6</f>
        <v>7.4887177462126537</v>
      </c>
      <c r="M6">
        <f t="shared" si="12"/>
        <v>0.87440746210307441</v>
      </c>
      <c r="O6">
        <f>J6/D6</f>
        <v>0.65848853967301824</v>
      </c>
      <c r="P6">
        <f t="shared" si="4"/>
        <v>-0.18145177909259971</v>
      </c>
      <c r="R6" s="4">
        <f>_xlfn.T.DIST.RT(E6*(G6-0.2),F6)</f>
        <v>8.3671427109241539E-2</v>
      </c>
      <c r="S6">
        <f>R6*M6</f>
        <v>7.3162920229134273E-2</v>
      </c>
      <c r="T6">
        <f>(1-R6)*P6</f>
        <v>-0.16626944978441105</v>
      </c>
      <c r="U6" s="2">
        <f>_xlfn.T.DIST.RT(E6*(G6-0.4),F6)</f>
        <v>0.14180320554456149</v>
      </c>
      <c r="V6">
        <f>U6*M6</f>
        <v>0.12399378107830063</v>
      </c>
      <c r="W6">
        <f>(1-U6)*P6</f>
        <v>-0.15572133516550543</v>
      </c>
      <c r="X6" s="2">
        <f>_xlfn.T.DIST.RT(E6*(G6-0.8),F6)</f>
        <v>0.37443588731063271</v>
      </c>
      <c r="Y6">
        <f>X6*M6</f>
        <v>0.32740953394360311</v>
      </c>
      <c r="Z6">
        <f>(1-X6)*P6</f>
        <v>-0.11350972118396922</v>
      </c>
      <c r="AB6">
        <f>C6*M6</f>
        <v>4.3720373105153726E-2</v>
      </c>
      <c r="AC6">
        <f>D6*P6</f>
        <v>-0.17237919013796971</v>
      </c>
      <c r="AD6">
        <f>(C6+0.01)*M6</f>
        <v>5.2464447726184471E-2</v>
      </c>
      <c r="AE6">
        <f>(D6-0.01)*P6</f>
        <v>-0.17056467234704373</v>
      </c>
      <c r="AF6">
        <f>(C6+0.05)*M6</f>
        <v>8.7440746210307452E-2</v>
      </c>
      <c r="AG6">
        <f>(D6-0.05)*P6</f>
        <v>-0.16330660118333973</v>
      </c>
      <c r="AH6">
        <f>(C6+0.1)*M6</f>
        <v>0.13116111931546118</v>
      </c>
      <c r="AI6">
        <f>(D6-0.1)*P6</f>
        <v>-0.15423401222870975</v>
      </c>
      <c r="AK6">
        <f t="shared" si="5"/>
        <v>-9.3106529555276776E-2</v>
      </c>
      <c r="AL6">
        <f t="shared" si="6"/>
        <v>-3.1727554087204804E-2</v>
      </c>
      <c r="AM6">
        <f t="shared" si="7"/>
        <v>0.21389981275963388</v>
      </c>
      <c r="AN6">
        <f t="shared" si="8"/>
        <v>-0.12865881703281598</v>
      </c>
      <c r="AO6">
        <f t="shared" si="9"/>
        <v>-0.11810022462085926</v>
      </c>
      <c r="AP6">
        <f t="shared" si="10"/>
        <v>-7.5865854973032276E-2</v>
      </c>
      <c r="AQ6">
        <f t="shared" si="13"/>
        <v>-2.3072892913248572E-2</v>
      </c>
    </row>
    <row r="7" spans="1:43" x14ac:dyDescent="0.3">
      <c r="A7">
        <v>5</v>
      </c>
      <c r="B7">
        <v>0.8</v>
      </c>
      <c r="C7">
        <v>0.02</v>
      </c>
      <c r="D7">
        <f t="shared" si="0"/>
        <v>0.98</v>
      </c>
      <c r="E7">
        <f t="shared" si="1"/>
        <v>2.2360679774997898</v>
      </c>
      <c r="F7">
        <f t="shared" si="2"/>
        <v>4</v>
      </c>
      <c r="G7">
        <f t="shared" si="11"/>
        <v>1.3409824313835594</v>
      </c>
      <c r="H7">
        <f t="shared" si="3"/>
        <v>0.54098243138355939</v>
      </c>
      <c r="I7" s="2">
        <f>_xlfn.T.DIST.RT(E7*H7,F7)</f>
        <v>0.14650287523306982</v>
      </c>
      <c r="J7">
        <f>1-I7</f>
        <v>0.85349712476693018</v>
      </c>
      <c r="L7">
        <f>I7/C7</f>
        <v>7.3251437616534911</v>
      </c>
      <c r="M7">
        <f t="shared" si="12"/>
        <v>0.8648161524773621</v>
      </c>
      <c r="O7">
        <f>J7/D7</f>
        <v>0.87091543343564304</v>
      </c>
      <c r="P7">
        <f t="shared" si="4"/>
        <v>-6.0024013276258781E-2</v>
      </c>
      <c r="R7" s="4">
        <f>_xlfn.T.DIST.RT(E7*(G7-0.2),F7)</f>
        <v>3.1608623915069411E-2</v>
      </c>
      <c r="S7">
        <f>R7*M7</f>
        <v>2.7335648519334264E-2</v>
      </c>
      <c r="T7">
        <f>(1-R7)*P7</f>
        <v>-5.8126736814736381E-2</v>
      </c>
      <c r="U7" s="2">
        <f>_xlfn.T.DIST.RT(E7*(G7-0.4),F7)</f>
        <v>5.1587346773211966E-2</v>
      </c>
      <c r="V7">
        <f>U7*M7</f>
        <v>4.4613570752924631E-2</v>
      </c>
      <c r="W7">
        <f>(1-U7)*P7</f>
        <v>-5.6927533688656537E-2</v>
      </c>
      <c r="X7" s="2">
        <f>_xlfn.T.DIST.RT(E7*(G7-0.8),F7)</f>
        <v>0.14650287523306982</v>
      </c>
      <c r="Y7">
        <f>X7*M7</f>
        <v>0.12669805288593447</v>
      </c>
      <c r="Z7">
        <f>(1-X7)*P7</f>
        <v>-5.1230322748258915E-2</v>
      </c>
      <c r="AB7">
        <f>C7*M7</f>
        <v>1.7296323049547244E-2</v>
      </c>
      <c r="AC7">
        <f>D7*P7</f>
        <v>-5.8823533010733606E-2</v>
      </c>
      <c r="AD7">
        <f>(C7+0.01)*M7</f>
        <v>2.5944484574320862E-2</v>
      </c>
      <c r="AE7">
        <f>(D7-0.01)*P7</f>
        <v>-5.8223292877971018E-2</v>
      </c>
      <c r="AF7">
        <f>(C7+0.05)*M7</f>
        <v>6.0537130673415353E-2</v>
      </c>
      <c r="AG7">
        <f>(D7-0.05)*P7</f>
        <v>-5.5822332346920661E-2</v>
      </c>
      <c r="AH7">
        <f>(C7+0.1)*M7</f>
        <v>0.10377793829728346</v>
      </c>
      <c r="AI7">
        <f>(D7-0.1)*P7</f>
        <v>-5.282113168310773E-2</v>
      </c>
      <c r="AK7">
        <f t="shared" si="5"/>
        <v>-3.0791088295402117E-2</v>
      </c>
      <c r="AL7">
        <f t="shared" si="6"/>
        <v>-1.2313962935731906E-2</v>
      </c>
      <c r="AM7">
        <f t="shared" si="7"/>
        <v>7.5467730137675548E-2</v>
      </c>
      <c r="AN7">
        <f t="shared" si="8"/>
        <v>-4.1527209961186362E-2</v>
      </c>
      <c r="AO7">
        <f t="shared" si="9"/>
        <v>-3.2278808303650153E-2</v>
      </c>
      <c r="AP7">
        <f t="shared" si="10"/>
        <v>4.7147983264946916E-3</v>
      </c>
      <c r="AQ7">
        <f t="shared" si="13"/>
        <v>5.0956806614175731E-2</v>
      </c>
    </row>
    <row r="8" spans="1:43" x14ac:dyDescent="0.3">
      <c r="A8">
        <v>5</v>
      </c>
      <c r="B8">
        <v>0.8</v>
      </c>
      <c r="C8">
        <v>0.01</v>
      </c>
      <c r="D8">
        <f t="shared" si="0"/>
        <v>0.99</v>
      </c>
      <c r="E8">
        <f t="shared" si="1"/>
        <v>2.2360679774997898</v>
      </c>
      <c r="F8">
        <f t="shared" si="2"/>
        <v>4</v>
      </c>
      <c r="G8">
        <f t="shared" si="11"/>
        <v>1.6756858135273525</v>
      </c>
      <c r="H8">
        <f t="shared" si="3"/>
        <v>0.87568581352735242</v>
      </c>
      <c r="I8" s="2">
        <f>_xlfn.T.DIST.RT(E8*H8,F8)</f>
        <v>6.0910376543346148E-2</v>
      </c>
      <c r="J8">
        <f>1-I8</f>
        <v>0.93908962345665381</v>
      </c>
      <c r="L8">
        <f>I8/C8</f>
        <v>6.091037654334615</v>
      </c>
      <c r="M8">
        <f t="shared" si="12"/>
        <v>0.78469128428539703</v>
      </c>
      <c r="O8">
        <f>J8/D8</f>
        <v>0.94857537722894325</v>
      </c>
      <c r="P8">
        <f t="shared" si="4"/>
        <v>-2.2928152794401718E-2</v>
      </c>
      <c r="R8" s="4">
        <f>_xlfn.T.DIST.RT(E8*(G8-0.2),F8)</f>
        <v>1.4970444511258471E-2</v>
      </c>
      <c r="S8">
        <f>R8*M8</f>
        <v>1.1747177329862682E-2</v>
      </c>
      <c r="T8">
        <f>(1-R8)*P8</f>
        <v>-2.2584908155247472E-2</v>
      </c>
      <c r="U8" s="2">
        <f>_xlfn.T.DIST.RT(E8*(G8-0.4),F8)</f>
        <v>2.3138881994467318E-2</v>
      </c>
      <c r="V8">
        <f>U8*M8</f>
        <v>1.8156879029166809E-2</v>
      </c>
      <c r="W8">
        <f>(1-U8)*P8</f>
        <v>-2.239762097254094E-2</v>
      </c>
      <c r="X8" s="2">
        <f>_xlfn.T.DIST.RT(E8*(G8-0.8),F8)</f>
        <v>6.0910376543346148E-2</v>
      </c>
      <c r="Y8">
        <f>X8*M8</f>
        <v>4.7795841596105414E-2</v>
      </c>
      <c r="Z8">
        <f>(1-X8)*P8</f>
        <v>-2.1531590374251335E-2</v>
      </c>
      <c r="AB8">
        <f>C8*M8</f>
        <v>7.8469128428539699E-3</v>
      </c>
      <c r="AC8">
        <f>D8*P8</f>
        <v>-2.2698871266457702E-2</v>
      </c>
      <c r="AD8">
        <f>(C8+0.01)*M8</f>
        <v>1.569382568570794E-2</v>
      </c>
      <c r="AE8">
        <f>(D8-0.01)*P8</f>
        <v>-2.2469589738513682E-2</v>
      </c>
      <c r="AF8">
        <f>(C8+0.05)*M8</f>
        <v>4.7081477057123823E-2</v>
      </c>
      <c r="AG8">
        <f>(D8-0.05)*P8</f>
        <v>-2.1552463626737614E-2</v>
      </c>
      <c r="AH8">
        <f>(C8+0.1)*M8</f>
        <v>8.6316041271393668E-2</v>
      </c>
      <c r="AI8">
        <f>(D8-0.1)*P8</f>
        <v>-2.040605598701753E-2</v>
      </c>
      <c r="AK8">
        <f t="shared" si="5"/>
        <v>-1.083773082538479E-2</v>
      </c>
      <c r="AL8">
        <f t="shared" si="6"/>
        <v>-4.2407419433741315E-3</v>
      </c>
      <c r="AM8">
        <f t="shared" si="7"/>
        <v>2.6264251221854079E-2</v>
      </c>
      <c r="AN8">
        <f t="shared" si="8"/>
        <v>-1.4851958423603732E-2</v>
      </c>
      <c r="AO8">
        <f t="shared" si="9"/>
        <v>-6.7757640528057425E-3</v>
      </c>
      <c r="AP8">
        <f t="shared" si="10"/>
        <v>2.5529013430386209E-2</v>
      </c>
      <c r="AQ8">
        <f t="shared" si="13"/>
        <v>6.5909985284376138E-2</v>
      </c>
    </row>
    <row r="9" spans="1:43" x14ac:dyDescent="0.3">
      <c r="A9">
        <v>5</v>
      </c>
      <c r="B9">
        <v>0.8</v>
      </c>
      <c r="C9">
        <v>5.0000000000000001E-3</v>
      </c>
      <c r="D9">
        <f t="shared" ref="D9" si="19">1-C9</f>
        <v>0.995</v>
      </c>
      <c r="E9">
        <f t="shared" ref="E9" si="20">SQRT(A9)</f>
        <v>2.2360679774997898</v>
      </c>
      <c r="F9">
        <f t="shared" ref="F9" si="21">A9-1</f>
        <v>4</v>
      </c>
      <c r="G9">
        <f t="shared" ref="G9" si="22">-_xlfn.T.INV(C9,F9)/E9</f>
        <v>2.0590138214393465</v>
      </c>
      <c r="H9">
        <f t="shared" ref="H9" si="23">G9-B9</f>
        <v>1.2590138214393465</v>
      </c>
      <c r="I9" s="2">
        <f>_xlfn.T.DIST.RT(E9*H9,F9)</f>
        <v>2.4030027949376219E-2</v>
      </c>
      <c r="J9">
        <f>1-I9</f>
        <v>0.97596997205062375</v>
      </c>
      <c r="L9">
        <f>I9/C9</f>
        <v>4.8060055898752436</v>
      </c>
      <c r="M9">
        <f t="shared" ref="M9" si="24">LOG10(L9)</f>
        <v>0.68178427159700339</v>
      </c>
      <c r="O9">
        <f>J9/D9</f>
        <v>0.98087434376947114</v>
      </c>
      <c r="P9">
        <f t="shared" ref="P9" si="25">LOG10(O9)</f>
        <v>-8.3866249369563741E-3</v>
      </c>
      <c r="R9" s="4">
        <f>_xlfn.T.DIST.RT(E9*(G9-0.2),F9)</f>
        <v>7.0904777439126159E-3</v>
      </c>
      <c r="S9">
        <f>R9*M9</f>
        <v>4.834176203908227E-3</v>
      </c>
      <c r="T9">
        <f>(1-R9)*P9</f>
        <v>-8.3271597594943431E-3</v>
      </c>
      <c r="U9" s="2">
        <f>_xlfn.T.DIST.RT(E9*(G9-0.4),F9)</f>
        <v>1.0330016398522594E-2</v>
      </c>
      <c r="V9">
        <f>U9*M9</f>
        <v>7.0428427058518272E-3</v>
      </c>
      <c r="W9">
        <f>(1-U9)*P9</f>
        <v>-8.2999909638293567E-3</v>
      </c>
      <c r="X9" s="2">
        <f>_xlfn.T.DIST.RT(E9*(G9-0.8),F9)</f>
        <v>2.4030027949376219E-2</v>
      </c>
      <c r="Y9">
        <f>X9*M9</f>
        <v>1.6383295101921099E-2</v>
      </c>
      <c r="Z9">
        <f>(1-X9)*P9</f>
        <v>-8.1850941053203761E-3</v>
      </c>
      <c r="AB9">
        <f>C9*M9</f>
        <v>3.4089213579850172E-3</v>
      </c>
      <c r="AC9">
        <f>D9*P9</f>
        <v>-8.3446918122715916E-3</v>
      </c>
      <c r="AD9">
        <f>(C9+0.01)*M9</f>
        <v>1.022676407395505E-2</v>
      </c>
      <c r="AE9">
        <f>(D9-0.01)*P9</f>
        <v>-8.2608255629020282E-3</v>
      </c>
      <c r="AF9">
        <f>(C9+0.05)*M9</f>
        <v>3.7498134937835187E-2</v>
      </c>
      <c r="AG9">
        <f>(D9-0.05)*P9</f>
        <v>-7.9253605654237731E-3</v>
      </c>
      <c r="AH9">
        <f>(C9+0.1)*M9</f>
        <v>7.1587348517685362E-2</v>
      </c>
      <c r="AI9">
        <f>(D9-0.1)*P9</f>
        <v>-7.5060293185759547E-3</v>
      </c>
      <c r="AK9">
        <f t="shared" ref="AK9" si="26">S9+T9</f>
        <v>-3.492983555586116E-3</v>
      </c>
      <c r="AL9">
        <f t="shared" ref="AL9" si="27">V9+W9</f>
        <v>-1.2571482579775296E-3</v>
      </c>
      <c r="AM9">
        <f t="shared" ref="AM9" si="28">Y9+Z9</f>
        <v>8.1982009966007231E-3</v>
      </c>
      <c r="AN9">
        <f t="shared" ref="AN9" si="29">AB9+AC9</f>
        <v>-4.9357704542865744E-3</v>
      </c>
      <c r="AO9">
        <f t="shared" ref="AO9" si="30">AD9+AE9</f>
        <v>1.9659385110530215E-3</v>
      </c>
      <c r="AP9">
        <f t="shared" ref="AP9" si="31">AF9+AG9</f>
        <v>2.9572774372411414E-2</v>
      </c>
      <c r="AQ9">
        <f t="shared" ref="AQ9" si="32">AH9+AI9</f>
        <v>6.4081319199109407E-2</v>
      </c>
    </row>
    <row r="10" spans="1:43" x14ac:dyDescent="0.3">
      <c r="A10">
        <v>5</v>
      </c>
      <c r="B10">
        <v>0.8</v>
      </c>
      <c r="C10">
        <v>2E-3</v>
      </c>
      <c r="D10">
        <f t="shared" si="0"/>
        <v>0.998</v>
      </c>
      <c r="E10">
        <f t="shared" si="1"/>
        <v>2.2360679774997898</v>
      </c>
      <c r="F10">
        <f t="shared" si="2"/>
        <v>4</v>
      </c>
      <c r="G10">
        <f t="shared" si="11"/>
        <v>2.6615348500015168</v>
      </c>
      <c r="H10">
        <f t="shared" si="3"/>
        <v>1.8615348500015167</v>
      </c>
      <c r="I10" s="2">
        <f>_xlfn.T.DIST.RT(E10*H10,F10)</f>
        <v>7.0581825811474484E-3</v>
      </c>
      <c r="J10">
        <f>1-I10</f>
        <v>0.99294181741885257</v>
      </c>
      <c r="L10">
        <f>I10/C10</f>
        <v>3.5290912905737239</v>
      </c>
      <c r="M10">
        <f t="shared" si="12"/>
        <v>0.54766289283988401</v>
      </c>
      <c r="O10">
        <f>J10/D10</f>
        <v>0.99493168078041339</v>
      </c>
      <c r="P10">
        <f t="shared" si="4"/>
        <v>-2.2067400369402343E-3</v>
      </c>
      <c r="R10" s="4">
        <f>_xlfn.T.DIST.RT(E10*(G10-0.2),F10)</f>
        <v>2.6568061553184788E-3</v>
      </c>
      <c r="S10">
        <f>R10*M10</f>
        <v>1.4550341447365283E-3</v>
      </c>
      <c r="T10">
        <f>(1-R10)*P10</f>
        <v>-2.2008771564269039E-3</v>
      </c>
      <c r="U10" s="2">
        <f>_xlfn.T.DIST.RT(E10*(G10-0.4),F10)</f>
        <v>3.5979655714344664E-3</v>
      </c>
      <c r="V10">
        <f>U10*M10</f>
        <v>1.9704722331901061E-3</v>
      </c>
      <c r="W10">
        <f>(1-U10)*P10</f>
        <v>-2.1988002622622175E-3</v>
      </c>
      <c r="X10" s="2">
        <f>_xlfn.T.DIST.RT(E10*(G10-0.8),F10)</f>
        <v>7.0581825811474484E-3</v>
      </c>
      <c r="Y10">
        <f>X10*M10</f>
        <v>3.8655046905832911E-3</v>
      </c>
      <c r="Z10">
        <f>(1-X10)*P10</f>
        <v>-2.1911644628503819E-3</v>
      </c>
      <c r="AB10">
        <f>C10*M10</f>
        <v>1.0953257856797681E-3</v>
      </c>
      <c r="AC10">
        <f>D10*P10</f>
        <v>-2.2023265568663539E-3</v>
      </c>
      <c r="AD10">
        <f>(C10+0.01)*M10</f>
        <v>6.5719547140786084E-3</v>
      </c>
      <c r="AE10">
        <f>(D10-0.01)*P10</f>
        <v>-2.1802591564969516E-3</v>
      </c>
      <c r="AF10">
        <f>(C10+0.05)*M10</f>
        <v>2.8478470427673971E-2</v>
      </c>
      <c r="AG10">
        <f>(D10-0.05)*P10</f>
        <v>-2.0919895550193419E-3</v>
      </c>
      <c r="AH10">
        <f>(C10+0.1)*M10</f>
        <v>5.586161506966817E-2</v>
      </c>
      <c r="AI10">
        <f>(D10-0.1)*P10</f>
        <v>-1.9816525531723304E-3</v>
      </c>
      <c r="AK10">
        <f t="shared" si="5"/>
        <v>-7.458430116903756E-4</v>
      </c>
      <c r="AL10">
        <f t="shared" si="6"/>
        <v>-2.2832802907211134E-4</v>
      </c>
      <c r="AM10">
        <f t="shared" si="7"/>
        <v>1.6743402277329092E-3</v>
      </c>
      <c r="AN10">
        <f t="shared" si="8"/>
        <v>-1.1070007711865859E-3</v>
      </c>
      <c r="AO10">
        <f t="shared" si="9"/>
        <v>4.3916955575816572E-3</v>
      </c>
      <c r="AP10">
        <f t="shared" si="10"/>
        <v>2.6386480872654629E-2</v>
      </c>
      <c r="AQ10">
        <f t="shared" si="13"/>
        <v>5.3879962516495843E-2</v>
      </c>
    </row>
    <row r="11" spans="1:43" x14ac:dyDescent="0.3">
      <c r="A11">
        <v>5</v>
      </c>
      <c r="B11">
        <v>0.8</v>
      </c>
      <c r="C11">
        <v>1E-3</v>
      </c>
      <c r="D11">
        <f t="shared" si="0"/>
        <v>0.999</v>
      </c>
      <c r="E11">
        <f t="shared" si="1"/>
        <v>2.2360679774997898</v>
      </c>
      <c r="F11">
        <f t="shared" si="2"/>
        <v>4</v>
      </c>
      <c r="G11">
        <f t="shared" si="11"/>
        <v>3.2079446116852157</v>
      </c>
      <c r="H11">
        <f t="shared" si="3"/>
        <v>2.4079446116852159</v>
      </c>
      <c r="I11" s="2">
        <f>_xlfn.T.DIST.RT(E11*H11,F11)</f>
        <v>2.875994977112481E-3</v>
      </c>
      <c r="J11">
        <f>1-I11</f>
        <v>0.99712400502288756</v>
      </c>
      <c r="L11">
        <f>I11/C11</f>
        <v>2.8759949771124811</v>
      </c>
      <c r="M11">
        <f t="shared" si="12"/>
        <v>0.45878812322188894</v>
      </c>
      <c r="O11">
        <f>J11/D11</f>
        <v>0.99812212715003756</v>
      </c>
      <c r="P11">
        <f t="shared" si="4"/>
        <v>-8.1631652588925378E-4</v>
      </c>
      <c r="R11" s="4">
        <f>_xlfn.T.DIST.RT(E11*(G11-0.2),F11)</f>
        <v>1.2725233521668497E-3</v>
      </c>
      <c r="S11">
        <f>R11*M11</f>
        <v>5.8381860049665582E-4</v>
      </c>
      <c r="T11">
        <f>(1-R11)*P11</f>
        <v>-8.152777440473E-4</v>
      </c>
      <c r="U11" s="2">
        <f>_xlfn.T.DIST.RT(E11*(G11-0.4),F11)</f>
        <v>1.6426121130239644E-3</v>
      </c>
      <c r="V11">
        <f>U11*M11</f>
        <v>7.5361092851580595E-4</v>
      </c>
      <c r="W11">
        <f>(1-U11)*P11</f>
        <v>-8.1497563447576642E-4</v>
      </c>
      <c r="X11" s="2">
        <f>_xlfn.T.DIST.RT(E11*(G11-0.8),F11)</f>
        <v>2.875994977112481E-3</v>
      </c>
      <c r="Y11">
        <f>X11*M11</f>
        <v>1.3194723379450146E-3</v>
      </c>
      <c r="Z11">
        <f>(1-X11)*P11</f>
        <v>-8.1396880366106238E-4</v>
      </c>
      <c r="AB11">
        <f>C11*M11</f>
        <v>4.5878812322188898E-4</v>
      </c>
      <c r="AC11">
        <f>D11*P11</f>
        <v>-8.1550020936336457E-4</v>
      </c>
      <c r="AD11">
        <f>(C11+0.01)*M11</f>
        <v>5.0466693554407777E-3</v>
      </c>
      <c r="AE11">
        <f>(D11-0.01)*P11</f>
        <v>-8.0733704410447201E-4</v>
      </c>
      <c r="AF11">
        <f>(C11+0.05)*M11</f>
        <v>2.3398194284316338E-2</v>
      </c>
      <c r="AG11">
        <f>(D11-0.05)*P11</f>
        <v>-7.7468438306890178E-4</v>
      </c>
      <c r="AH11">
        <f>(C11+0.1)*M11</f>
        <v>4.6337600445410784E-2</v>
      </c>
      <c r="AI11">
        <f>(D11-0.1)*P11</f>
        <v>-7.338685567744392E-4</v>
      </c>
      <c r="AK11">
        <f t="shared" si="5"/>
        <v>-2.3145914355064418E-4</v>
      </c>
      <c r="AL11">
        <f t="shared" si="6"/>
        <v>-6.136470595996047E-5</v>
      </c>
      <c r="AM11">
        <f t="shared" si="7"/>
        <v>5.0550353428395218E-4</v>
      </c>
      <c r="AN11">
        <f t="shared" si="8"/>
        <v>-3.5671208614147559E-4</v>
      </c>
      <c r="AO11">
        <f t="shared" si="9"/>
        <v>4.2393323113363059E-3</v>
      </c>
      <c r="AP11">
        <f t="shared" si="10"/>
        <v>2.2623509901247438E-2</v>
      </c>
      <c r="AQ11">
        <f t="shared" si="13"/>
        <v>4.5603731888636347E-2</v>
      </c>
    </row>
    <row r="12" spans="1:43" x14ac:dyDescent="0.3">
      <c r="A12">
        <v>5</v>
      </c>
      <c r="B12">
        <v>0.8</v>
      </c>
      <c r="C12">
        <v>1E-4</v>
      </c>
      <c r="D12">
        <f t="shared" si="0"/>
        <v>0.99990000000000001</v>
      </c>
      <c r="E12">
        <f t="shared" si="1"/>
        <v>2.2360679774997898</v>
      </c>
      <c r="F12">
        <f t="shared" si="2"/>
        <v>4</v>
      </c>
      <c r="G12">
        <f t="shared" si="11"/>
        <v>5.8288351928682287</v>
      </c>
      <c r="H12">
        <f t="shared" si="3"/>
        <v>5.0288351928682289</v>
      </c>
      <c r="I12" s="2">
        <f>_xlfn.T.DIST.RT(E12*H12,F12)</f>
        <v>1.7813702209586003E-4</v>
      </c>
      <c r="J12">
        <f>1-I12</f>
        <v>0.9998218629779041</v>
      </c>
      <c r="L12">
        <f>I12/C12</f>
        <v>1.7813702209586002</v>
      </c>
      <c r="M12">
        <f t="shared" si="12"/>
        <v>0.25075418796988996</v>
      </c>
      <c r="O12">
        <f>J12/D12</f>
        <v>0.99992185516342047</v>
      </c>
      <c r="P12">
        <f t="shared" si="4"/>
        <v>-3.3939197419511106E-5</v>
      </c>
      <c r="R12" s="4">
        <f>_xlfn.T.DIST.RT(E12*(G12-0.2),F12)</f>
        <v>1.1466963869199729E-4</v>
      </c>
      <c r="S12">
        <f>R12*M12</f>
        <v>2.8753892135012455E-5</v>
      </c>
      <c r="T12">
        <f>(1-R12)*P12</f>
        <v>-3.3935305624005514E-5</v>
      </c>
      <c r="U12" s="2">
        <f>_xlfn.T.DIST.RT(E12*(G12-0.4),F12)</f>
        <v>1.3211681813024798E-4</v>
      </c>
      <c r="V12">
        <f>U12*M12</f>
        <v>3.3128845447415966E-5</v>
      </c>
      <c r="W12">
        <f>(1-U12)*P12</f>
        <v>-3.3934713480738145E-5</v>
      </c>
      <c r="X12" s="2">
        <f>_xlfn.T.DIST.RT(E12*(G12-0.8),F12)</f>
        <v>1.7813702209586003E-4</v>
      </c>
      <c r="Y12">
        <f>X12*M12</f>
        <v>4.4668604323021726E-5</v>
      </c>
      <c r="Z12">
        <f>(1-X12)*P12</f>
        <v>-3.3933151591950468E-5</v>
      </c>
      <c r="AB12">
        <f>C12*M12</f>
        <v>2.5075418796988997E-5</v>
      </c>
      <c r="AC12">
        <f>D12*P12</f>
        <v>-3.3935803499769154E-5</v>
      </c>
      <c r="AD12">
        <f>(C12+0.01)*M12</f>
        <v>2.5326172984958886E-3</v>
      </c>
      <c r="AE12">
        <f>(D12-0.01)*P12</f>
        <v>-3.3596411525574043E-5</v>
      </c>
      <c r="AF12">
        <f>(C12+0.05)*M12</f>
        <v>1.2562784817291488E-2</v>
      </c>
      <c r="AG12">
        <f>(D12-0.05)*P12</f>
        <v>-3.2238843628793599E-5</v>
      </c>
      <c r="AH12">
        <f>(C12+0.1)*M12</f>
        <v>2.5100494215785987E-2</v>
      </c>
      <c r="AI12">
        <f>(D12-0.1)*P12</f>
        <v>-3.0541883757818043E-5</v>
      </c>
      <c r="AK12">
        <f t="shared" si="5"/>
        <v>-5.1814134889930587E-6</v>
      </c>
      <c r="AL12">
        <f t="shared" si="6"/>
        <v>-8.058680333221789E-7</v>
      </c>
      <c r="AM12">
        <f t="shared" si="7"/>
        <v>1.0735452731071258E-5</v>
      </c>
      <c r="AN12">
        <f t="shared" si="8"/>
        <v>-8.8603847027801568E-6</v>
      </c>
      <c r="AO12">
        <f t="shared" si="9"/>
        <v>2.4990208869703147E-3</v>
      </c>
      <c r="AP12">
        <f t="shared" si="10"/>
        <v>1.2530545973662694E-2</v>
      </c>
      <c r="AQ12">
        <f t="shared" si="13"/>
        <v>2.5069952332028168E-2</v>
      </c>
    </row>
    <row r="13" spans="1:43" x14ac:dyDescent="0.3">
      <c r="A13">
        <v>5</v>
      </c>
      <c r="B13">
        <v>0.8</v>
      </c>
      <c r="C13">
        <v>1.0000000000000001E-5</v>
      </c>
      <c r="D13">
        <f t="shared" si="0"/>
        <v>0.99999000000000005</v>
      </c>
      <c r="E13">
        <f t="shared" si="1"/>
        <v>2.2360679774997898</v>
      </c>
      <c r="F13">
        <f t="shared" si="2"/>
        <v>4</v>
      </c>
      <c r="G13">
        <f t="shared" si="11"/>
        <v>10.434469316499781</v>
      </c>
      <c r="H13">
        <f t="shared" si="3"/>
        <v>9.6344693164997803</v>
      </c>
      <c r="I13" s="2">
        <f>_xlfn.T.DIST.RT(E13*H13,F13)</f>
        <v>1.3729583265924345E-5</v>
      </c>
      <c r="J13">
        <f>1-I13</f>
        <v>0.99998627041673405</v>
      </c>
      <c r="L13">
        <f>I13/C13</f>
        <v>1.3729583265924343</v>
      </c>
      <c r="M13">
        <f t="shared" si="12"/>
        <v>0.13765735529530029</v>
      </c>
      <c r="O13">
        <f>J13/D13</f>
        <v>0.99999627037943783</v>
      </c>
      <c r="P13">
        <f t="shared" si="4"/>
        <v>-1.6197566502819307E-6</v>
      </c>
      <c r="R13" s="4">
        <f>_xlfn.T.DIST.RT(E13*(G13-0.2),F13)</f>
        <v>1.0799701559135624E-5</v>
      </c>
      <c r="S13">
        <f>R13*M13</f>
        <v>1.4866583546091412E-6</v>
      </c>
      <c r="T13">
        <f>(1-R13)*P13</f>
        <v>-1.6197391573935093E-6</v>
      </c>
      <c r="U13" s="2">
        <f>_xlfn.T.DIST.RT(E13*(G13-0.4),F13)</f>
        <v>1.1680851710298526E-5</v>
      </c>
      <c r="V13">
        <f>U13*M13</f>
        <v>1.6079551540362802E-6</v>
      </c>
      <c r="W13">
        <f>(1-U13)*P13</f>
        <v>-1.6197377301446919E-6</v>
      </c>
      <c r="X13" s="2">
        <f>_xlfn.T.DIST.RT(E13*(G13-0.8),F13)</f>
        <v>1.3729583265924345E-5</v>
      </c>
      <c r="Y13">
        <f>X13*M13</f>
        <v>1.8899781216937569E-6</v>
      </c>
      <c r="Z13">
        <f>(1-X13)*P13</f>
        <v>-1.61973441169813E-6</v>
      </c>
      <c r="AB13">
        <f>C13*M13</f>
        <v>1.376573552953003E-6</v>
      </c>
      <c r="AC13">
        <f>D13*P13</f>
        <v>-1.6197404527154279E-6</v>
      </c>
      <c r="AD13">
        <f>(C13+0.01)*M13</f>
        <v>1.3779501265059558E-3</v>
      </c>
      <c r="AE13">
        <f>(D13-0.01)*P13</f>
        <v>-1.6035428862126086E-6</v>
      </c>
      <c r="AF13">
        <f>(C13+0.05)*M13</f>
        <v>6.8842443383179686E-3</v>
      </c>
      <c r="AG13">
        <f>(D13-0.05)*P13</f>
        <v>-1.5387526202013313E-6</v>
      </c>
      <c r="AH13">
        <f>(C13+0.1)*M13</f>
        <v>1.3767112103082983E-2</v>
      </c>
      <c r="AI13">
        <f>(D13-0.1)*P13</f>
        <v>-1.457764787687235E-6</v>
      </c>
      <c r="AK13">
        <f t="shared" si="5"/>
        <v>-1.3308080278436804E-7</v>
      </c>
      <c r="AL13">
        <f t="shared" si="6"/>
        <v>-1.1782576108411685E-8</v>
      </c>
      <c r="AM13">
        <f t="shared" si="7"/>
        <v>2.702437099956269E-7</v>
      </c>
      <c r="AN13">
        <f t="shared" si="8"/>
        <v>-2.4316689976242489E-7</v>
      </c>
      <c r="AO13">
        <f t="shared" si="9"/>
        <v>1.3763465836197433E-3</v>
      </c>
      <c r="AP13">
        <f t="shared" si="10"/>
        <v>6.8827055856977674E-3</v>
      </c>
      <c r="AQ13">
        <f t="shared" si="13"/>
        <v>1.3765654338295295E-2</v>
      </c>
    </row>
    <row r="14" spans="1:43" x14ac:dyDescent="0.3">
      <c r="A14">
        <v>5</v>
      </c>
      <c r="B14">
        <v>0.8</v>
      </c>
      <c r="C14">
        <v>9.9999999999999995E-7</v>
      </c>
      <c r="D14">
        <f t="shared" si="0"/>
        <v>0.99999899999999997</v>
      </c>
      <c r="E14">
        <f t="shared" si="1"/>
        <v>2.2360679774997898</v>
      </c>
      <c r="F14">
        <f t="shared" si="2"/>
        <v>4</v>
      </c>
      <c r="G14">
        <f t="shared" si="11"/>
        <v>18.594181647796031</v>
      </c>
      <c r="H14">
        <f t="shared" si="3"/>
        <v>17.79418164779603</v>
      </c>
      <c r="I14" s="2">
        <f>_xlfn.T.DIST.RT(E14*H14,F14)</f>
        <v>1.1919075602228616E-6</v>
      </c>
      <c r="J14">
        <f>1-I14</f>
        <v>0.99999880809243979</v>
      </c>
      <c r="L14">
        <f>I14/C14</f>
        <v>1.1919075602228617</v>
      </c>
      <c r="M14">
        <f t="shared" si="12"/>
        <v>7.6242574496610704E-2</v>
      </c>
      <c r="O14">
        <f>J14/D14</f>
        <v>0.99999980809224787</v>
      </c>
      <c r="P14">
        <f t="shared" si="4"/>
        <v>-8.3344485783461411E-8</v>
      </c>
      <c r="R14" s="4">
        <f>_xlfn.T.DIST.RT(E14*(G14-0.2),F14)</f>
        <v>1.044118658125251E-6</v>
      </c>
      <c r="S14">
        <f>R14*M14</f>
        <v>7.9606294575415646E-8</v>
      </c>
      <c r="T14">
        <f>(1-R14)*P14</f>
        <v>-8.3344398761928751E-8</v>
      </c>
      <c r="U14" s="2">
        <f>_xlfn.T.DIST.RT(E14*(G14-0.4),F14)</f>
        <v>1.0906964224164526E-6</v>
      </c>
      <c r="V14">
        <f>U14*M14</f>
        <v>8.3157503239273169E-8</v>
      </c>
      <c r="W14">
        <f>(1-U14)*P14</f>
        <v>-8.3344394879928936E-8</v>
      </c>
      <c r="X14" s="2">
        <f>_xlfn.T.DIST.RT(E14*(G14-0.8),F14)</f>
        <v>1.1919075602228616E-6</v>
      </c>
      <c r="Y14">
        <f>X14*M14</f>
        <v>9.0874100953365032E-8</v>
      </c>
      <c r="Z14">
        <f>(1-X14)*P14</f>
        <v>-8.3344386444538699E-8</v>
      </c>
      <c r="AB14">
        <f>C14*M14</f>
        <v>7.6242574496610698E-8</v>
      </c>
      <c r="AC14">
        <f>D14*P14</f>
        <v>-8.334440243897563E-8</v>
      </c>
      <c r="AD14">
        <f>(C14+0.01)*M14</f>
        <v>7.6250198754060361E-4</v>
      </c>
      <c r="AE14">
        <f>(D14-0.01)*P14</f>
        <v>-8.2510957581141013E-8</v>
      </c>
      <c r="AF14">
        <f>(C14+0.05)*M14</f>
        <v>3.812204967405032E-3</v>
      </c>
      <c r="AG14">
        <f>(D14-0.05)*P14</f>
        <v>-7.9177178149802547E-8</v>
      </c>
      <c r="AH14">
        <f>(C14+0.1)*M14</f>
        <v>7.624333692235568E-3</v>
      </c>
      <c r="AI14">
        <f>(D14-0.1)*P14</f>
        <v>-7.500995386062949E-8</v>
      </c>
      <c r="AK14">
        <f t="shared" si="5"/>
        <v>-3.7381041865131049E-9</v>
      </c>
      <c r="AL14">
        <f t="shared" si="6"/>
        <v>-1.8689164065576711E-10</v>
      </c>
      <c r="AM14">
        <f t="shared" si="7"/>
        <v>7.5297145088263334E-9</v>
      </c>
      <c r="AN14">
        <f t="shared" si="8"/>
        <v>-7.1018279423649313E-9</v>
      </c>
      <c r="AO14">
        <f t="shared" si="9"/>
        <v>7.6241947658302247E-4</v>
      </c>
      <c r="AP14">
        <f t="shared" si="10"/>
        <v>3.8121257902268822E-3</v>
      </c>
      <c r="AQ14">
        <f t="shared" si="13"/>
        <v>7.6242586822817078E-3</v>
      </c>
    </row>
    <row r="15" spans="1:43" x14ac:dyDescent="0.3">
      <c r="A15">
        <v>5</v>
      </c>
      <c r="B15">
        <v>0.8</v>
      </c>
      <c r="C15">
        <v>9.9999999999999995E-8</v>
      </c>
      <c r="D15">
        <f t="shared" si="0"/>
        <v>0.99999990000000005</v>
      </c>
      <c r="E15">
        <f t="shared" si="1"/>
        <v>2.2360679774997898</v>
      </c>
      <c r="F15">
        <f t="shared" si="2"/>
        <v>4</v>
      </c>
      <c r="G15">
        <f t="shared" si="11"/>
        <v>33.087436872332674</v>
      </c>
      <c r="H15">
        <f t="shared" si="3"/>
        <v>32.287436872332677</v>
      </c>
      <c r="I15" s="2">
        <f>_xlfn.T.DIST.RT(E15*H15,F15)</f>
        <v>1.1027871729416898E-7</v>
      </c>
      <c r="J15">
        <f>1-I15</f>
        <v>0.99999988972128273</v>
      </c>
      <c r="L15">
        <f>I15/C15</f>
        <v>1.1027871729416898</v>
      </c>
      <c r="M15">
        <f t="shared" si="12"/>
        <v>4.2491705971058426E-2</v>
      </c>
      <c r="O15">
        <f>J15/D15</f>
        <v>0.99999998972128168</v>
      </c>
      <c r="P15">
        <f t="shared" si="4"/>
        <v>-4.4639906707610966E-9</v>
      </c>
      <c r="R15" s="4">
        <f>_xlfn.T.DIST.RT(E15*(G15-0.2),F15)</f>
        <v>1.0245329842058896E-7</v>
      </c>
      <c r="S15">
        <f>R15*M15</f>
        <v>4.3534154322527707E-9</v>
      </c>
      <c r="T15">
        <f>(1-R15)*P15</f>
        <v>-4.463990213410528E-9</v>
      </c>
      <c r="U15" s="2">
        <f>_xlfn.T.DIST.RT(E15*(G15-0.4),F15)</f>
        <v>1.0498228419054925E-7</v>
      </c>
      <c r="V15">
        <f>U15*M15</f>
        <v>4.4608763519949145E-9</v>
      </c>
      <c r="W15">
        <f>(1-U15)*P15</f>
        <v>-4.4639902021211596E-9</v>
      </c>
      <c r="X15" s="2">
        <f>_xlfn.T.DIST.RT(E15*(G15-0.8),F15)</f>
        <v>1.1027871729416898E-7</v>
      </c>
      <c r="Y15">
        <f>X15*M15</f>
        <v>4.6859308301293044E-9</v>
      </c>
      <c r="Z15">
        <f>(1-X15)*P15</f>
        <v>-4.4639901784779314E-9</v>
      </c>
      <c r="AB15">
        <f>C15*M15</f>
        <v>4.2491705971058426E-9</v>
      </c>
      <c r="AC15">
        <f>D15*P15</f>
        <v>-4.4639902243620296E-9</v>
      </c>
      <c r="AD15">
        <f>(C15+0.01)*M15</f>
        <v>4.2492130888118135E-4</v>
      </c>
      <c r="AE15">
        <f>(D15-0.01)*P15</f>
        <v>-4.4193503176544188E-9</v>
      </c>
      <c r="AF15">
        <f>(C15+0.05)*M15</f>
        <v>2.1245895477235185E-3</v>
      </c>
      <c r="AG15">
        <f>(D15-0.05)*P15</f>
        <v>-4.2407906908239746E-9</v>
      </c>
      <c r="AH15">
        <f>(C15+0.1)*M15</f>
        <v>4.2491748462764401E-3</v>
      </c>
      <c r="AI15">
        <f>(D15-0.1)*P15</f>
        <v>-4.0175911572859205E-9</v>
      </c>
      <c r="AK15">
        <f t="shared" si="5"/>
        <v>-1.105747811577573E-10</v>
      </c>
      <c r="AL15">
        <f t="shared" si="6"/>
        <v>-3.1138501262451215E-12</v>
      </c>
      <c r="AM15">
        <f t="shared" si="7"/>
        <v>2.2194065165137299E-10</v>
      </c>
      <c r="AN15">
        <f t="shared" si="8"/>
        <v>-2.14819627256187E-10</v>
      </c>
      <c r="AO15">
        <f t="shared" si="9"/>
        <v>4.2491688953086369E-4</v>
      </c>
      <c r="AP15">
        <f t="shared" si="10"/>
        <v>2.1245853069328277E-3</v>
      </c>
      <c r="AQ15">
        <f t="shared" si="13"/>
        <v>4.2491708286852828E-3</v>
      </c>
    </row>
    <row r="16" spans="1:43" x14ac:dyDescent="0.3">
      <c r="A16">
        <v>10</v>
      </c>
      <c r="B16">
        <v>0.8</v>
      </c>
      <c r="C16">
        <v>0.5</v>
      </c>
      <c r="D16">
        <f t="shared" si="0"/>
        <v>0.5</v>
      </c>
      <c r="E16">
        <f t="shared" ref="E16:E18" si="33">SQRT(A16)</f>
        <v>3.1622776601683795</v>
      </c>
      <c r="F16">
        <f t="shared" ref="F16:F18" si="34">A16-1</f>
        <v>9</v>
      </c>
      <c r="G16">
        <f t="shared" ref="G16:G18" si="35">-_xlfn.T.INV(C16,F16)/E16</f>
        <v>0</v>
      </c>
      <c r="H16">
        <f t="shared" ref="H16:H18" si="36">G16-B16</f>
        <v>-0.8</v>
      </c>
      <c r="I16" s="2">
        <f>_xlfn.T.DIST.RT(E16*H16,F16)</f>
        <v>0.98387760951977166</v>
      </c>
      <c r="J16">
        <f>1-I16</f>
        <v>1.6122390480228344E-2</v>
      </c>
      <c r="L16">
        <f>I16/C16</f>
        <v>1.9677552190395433</v>
      </c>
      <c r="M16">
        <f t="shared" ref="M16:M18" si="37">LOG10(L16)</f>
        <v>0.29397107294074271</v>
      </c>
      <c r="O16">
        <f>J16/D16</f>
        <v>3.2244780960456687E-2</v>
      </c>
      <c r="P16">
        <f t="shared" si="4"/>
        <v>-1.4915405688890857</v>
      </c>
      <c r="R16" s="4">
        <f>_xlfn.T.DIST.RT(E16*(G16-0.2),F16)</f>
        <v>0.72858952131991961</v>
      </c>
      <c r="S16">
        <f>R16*M16</f>
        <v>0.21418424331579891</v>
      </c>
      <c r="T16">
        <f>(1-R16)*P16</f>
        <v>-0.40481973977294616</v>
      </c>
      <c r="U16" s="2">
        <f>_xlfn.T.DIST.RT(E16*(G16-0.4),F16)</f>
        <v>0.88116371841050722</v>
      </c>
      <c r="V16">
        <f>U16*M16</f>
        <v>0.25903664373759128</v>
      </c>
      <c r="W16">
        <f>(1-U16)*P16</f>
        <v>-0.17724913504665563</v>
      </c>
      <c r="X16" s="2">
        <f>_xlfn.T.DIST.RT(E16*(G16-0.8),F16)</f>
        <v>0.98387760951977166</v>
      </c>
      <c r="Y16">
        <f>X16*M16</f>
        <v>0.28923155651290039</v>
      </c>
      <c r="Z16">
        <f>(1-X16)*P16</f>
        <v>-2.4047199468731763E-2</v>
      </c>
      <c r="AB16">
        <f>C16*M16</f>
        <v>0.14698553647037135</v>
      </c>
      <c r="AC16">
        <f>D16*P16</f>
        <v>-0.74577028444454285</v>
      </c>
      <c r="AD16">
        <f>(C16+0.01)*M16</f>
        <v>0.14992524719977879</v>
      </c>
      <c r="AE16">
        <f>(D16-0.01)*P16</f>
        <v>-0.73085487875565203</v>
      </c>
      <c r="AF16">
        <f>(C16+0.05)*M16</f>
        <v>0.1616840901174085</v>
      </c>
      <c r="AG16">
        <f>(D16-0.05)*P16</f>
        <v>-0.67119325600008861</v>
      </c>
      <c r="AH16">
        <f>(C16+0.1)*M16</f>
        <v>0.17638264376444562</v>
      </c>
      <c r="AI16">
        <f>(D16-0.1)*P16</f>
        <v>-0.59661622755563426</v>
      </c>
      <c r="AK16">
        <f t="shared" si="5"/>
        <v>-0.19063549645714725</v>
      </c>
      <c r="AL16">
        <f t="shared" si="6"/>
        <v>8.1787508690935651E-2</v>
      </c>
      <c r="AM16">
        <f t="shared" si="7"/>
        <v>0.26518435704416865</v>
      </c>
      <c r="AN16">
        <f t="shared" si="8"/>
        <v>-0.59878474797417147</v>
      </c>
      <c r="AO16">
        <f t="shared" si="9"/>
        <v>-0.58092963155587318</v>
      </c>
      <c r="AP16">
        <f t="shared" si="10"/>
        <v>-0.50950916588268014</v>
      </c>
      <c r="AQ16">
        <f t="shared" si="13"/>
        <v>-0.42023358379118864</v>
      </c>
    </row>
    <row r="17" spans="1:43" x14ac:dyDescent="0.3">
      <c r="A17">
        <v>10</v>
      </c>
      <c r="B17">
        <v>0.8</v>
      </c>
      <c r="C17">
        <v>0.2</v>
      </c>
      <c r="D17">
        <f t="shared" si="0"/>
        <v>0.8</v>
      </c>
      <c r="E17">
        <f t="shared" si="33"/>
        <v>3.1622776601683795</v>
      </c>
      <c r="F17">
        <f t="shared" si="34"/>
        <v>9</v>
      </c>
      <c r="G17">
        <f t="shared" si="35"/>
        <v>0.27935682903900877</v>
      </c>
      <c r="H17">
        <f t="shared" si="36"/>
        <v>-0.52064317096099133</v>
      </c>
      <c r="I17" s="2">
        <f>_xlfn.T.DIST.RT(E17*H17,F17)</f>
        <v>0.93295783309967206</v>
      </c>
      <c r="J17">
        <f>1-I17</f>
        <v>6.7042166900327937E-2</v>
      </c>
      <c r="L17">
        <f>I17/C17</f>
        <v>4.6647891654983598</v>
      </c>
      <c r="M17">
        <f t="shared" si="37"/>
        <v>0.66883201971599326</v>
      </c>
      <c r="O17">
        <f>J17/D17</f>
        <v>8.3802708625409922E-2</v>
      </c>
      <c r="P17">
        <f t="shared" si="4"/>
        <v>-1.0767419441136574</v>
      </c>
      <c r="R17" s="4">
        <f>_xlfn.T.DIST.RT(E17*(G17-0.2),F17)</f>
        <v>0.40374476246127033</v>
      </c>
      <c r="S17">
        <f>R17*M17</f>
        <v>0.27003742492672539</v>
      </c>
      <c r="T17">
        <f>(1-R17)*P17</f>
        <v>-0.64201302365540236</v>
      </c>
      <c r="U17" s="2">
        <f>_xlfn.T.DIST.RT(E17*(G17-0.4),F17)</f>
        <v>0.64416109630628737</v>
      </c>
      <c r="V17">
        <f>U17*M17</f>
        <v>0.43083556706500264</v>
      </c>
      <c r="W17">
        <f>(1-U17)*P17</f>
        <v>-0.38314667295444066</v>
      </c>
      <c r="X17" s="2">
        <f>_xlfn.T.DIST.RT(E17*(G17-0.8),F17)</f>
        <v>0.93295783309967206</v>
      </c>
      <c r="Y17">
        <f>X17*M17</f>
        <v>0.62399207182191019</v>
      </c>
      <c r="Z17">
        <f>(1-X17)*P17</f>
        <v>-7.2187113125851396E-2</v>
      </c>
      <c r="AB17">
        <f>C17*M17</f>
        <v>0.13376640394319866</v>
      </c>
      <c r="AC17">
        <f>D17*P17</f>
        <v>-0.86139355529092598</v>
      </c>
      <c r="AD17">
        <f>(C17+0.01)*M17</f>
        <v>0.14045472414035859</v>
      </c>
      <c r="AE17">
        <f>(D17-0.01)*P17</f>
        <v>-0.85062613584978941</v>
      </c>
      <c r="AF17">
        <f>(C17+0.05)*M17</f>
        <v>0.16720800492899832</v>
      </c>
      <c r="AG17">
        <f>(D17-0.05)*P17</f>
        <v>-0.80755645808524301</v>
      </c>
      <c r="AH17">
        <f>(C17+0.1)*M17</f>
        <v>0.200649605914798</v>
      </c>
      <c r="AI17">
        <f>(D17-0.1)*P17</f>
        <v>-0.75371936087956026</v>
      </c>
      <c r="AK17">
        <f t="shared" si="5"/>
        <v>-0.37197559872867697</v>
      </c>
      <c r="AL17">
        <f t="shared" si="6"/>
        <v>4.7688894110561986E-2</v>
      </c>
      <c r="AM17">
        <f t="shared" si="7"/>
        <v>0.55180495869605883</v>
      </c>
      <c r="AN17">
        <f t="shared" si="8"/>
        <v>-0.72762715134772726</v>
      </c>
      <c r="AO17">
        <f t="shared" si="9"/>
        <v>-0.71017141170943088</v>
      </c>
      <c r="AP17">
        <f t="shared" si="10"/>
        <v>-0.64034845315624467</v>
      </c>
      <c r="AQ17">
        <f t="shared" si="13"/>
        <v>-0.55306975496476229</v>
      </c>
    </row>
    <row r="18" spans="1:43" x14ac:dyDescent="0.3">
      <c r="A18">
        <v>10</v>
      </c>
      <c r="B18">
        <v>0.8</v>
      </c>
      <c r="C18">
        <v>0.1</v>
      </c>
      <c r="D18">
        <f t="shared" si="0"/>
        <v>0.9</v>
      </c>
      <c r="E18">
        <f t="shared" si="33"/>
        <v>3.1622776601683795</v>
      </c>
      <c r="F18">
        <f t="shared" si="34"/>
        <v>9</v>
      </c>
      <c r="G18">
        <f t="shared" si="35"/>
        <v>0.43735208828025268</v>
      </c>
      <c r="H18">
        <f t="shared" si="36"/>
        <v>-0.36264791171974736</v>
      </c>
      <c r="I18" s="2">
        <f>_xlfn.T.DIST.RT(E18*H18,F18)</f>
        <v>0.8594801592387783</v>
      </c>
      <c r="J18">
        <f>1-I18</f>
        <v>0.1405198407612217</v>
      </c>
      <c r="L18">
        <f>I18/C18</f>
        <v>8.5948015923877819</v>
      </c>
      <c r="M18">
        <f t="shared" si="37"/>
        <v>0.93423585562159173</v>
      </c>
      <c r="O18">
        <f>J18/D18</f>
        <v>0.15613315640135744</v>
      </c>
      <c r="P18">
        <f t="shared" si="4"/>
        <v>-0.80650486046680281</v>
      </c>
      <c r="R18" s="4">
        <f>_xlfn.T.DIST.RT(E18*(G18-0.2),F18)</f>
        <v>0.23603799615413723</v>
      </c>
      <c r="S18">
        <f>R18*M18</f>
        <v>0.22051515929626636</v>
      </c>
      <c r="T18">
        <f>(1-R18)*P18</f>
        <v>-0.61613906931364659</v>
      </c>
      <c r="U18" s="2">
        <f>_xlfn.T.DIST.RT(E18*(G18-0.4),F18)</f>
        <v>0.45428430851040552</v>
      </c>
      <c r="V18">
        <f>U18*M18</f>
        <v>0.42440868965668183</v>
      </c>
      <c r="W18">
        <f>(1-U18)*P18</f>
        <v>-0.44012235761936014</v>
      </c>
      <c r="X18" s="2">
        <f>_xlfn.T.DIST.RT(E18*(G18-0.8),F18)</f>
        <v>0.8594801592387783</v>
      </c>
      <c r="Y18">
        <f>X18*M18</f>
        <v>0.8029571819562219</v>
      </c>
      <c r="Z18">
        <f>(1-X18)*P18</f>
        <v>-0.11332993456594646</v>
      </c>
      <c r="AB18">
        <f>C18*M18</f>
        <v>9.3423585562159184E-2</v>
      </c>
      <c r="AC18">
        <f>D18*P18</f>
        <v>-0.72585437442012257</v>
      </c>
      <c r="AD18">
        <f>(C18+0.01)*M18</f>
        <v>0.10276594411837509</v>
      </c>
      <c r="AE18">
        <f>(D18-0.01)*P18</f>
        <v>-0.71778932581545452</v>
      </c>
      <c r="AF18">
        <f>(C18+0.05)*M18</f>
        <v>0.14013537834323878</v>
      </c>
      <c r="AG18">
        <f>(D18-0.05)*P18</f>
        <v>-0.6855291313967824</v>
      </c>
      <c r="AH18">
        <f>(C18+0.1)*M18</f>
        <v>0.18684717112431837</v>
      </c>
      <c r="AI18">
        <f>(D18-0.1)*P18</f>
        <v>-0.64520388837344234</v>
      </c>
      <c r="AK18">
        <f t="shared" si="5"/>
        <v>-0.39562391001738023</v>
      </c>
      <c r="AL18">
        <f t="shared" si="6"/>
        <v>-1.5713667962678313E-2</v>
      </c>
      <c r="AM18">
        <f t="shared" si="7"/>
        <v>0.68962724739027548</v>
      </c>
      <c r="AN18">
        <f t="shared" si="8"/>
        <v>-0.63243078885796344</v>
      </c>
      <c r="AO18">
        <f t="shared" si="9"/>
        <v>-0.61502338169707937</v>
      </c>
      <c r="AP18">
        <f t="shared" si="10"/>
        <v>-0.54539375305354365</v>
      </c>
      <c r="AQ18">
        <f t="shared" si="13"/>
        <v>-0.45835671724912397</v>
      </c>
    </row>
    <row r="19" spans="1:43" x14ac:dyDescent="0.3">
      <c r="A19">
        <v>10</v>
      </c>
      <c r="B19">
        <v>0.8</v>
      </c>
      <c r="C19">
        <v>5.2355020000000002E-2</v>
      </c>
      <c r="D19">
        <f t="shared" si="0"/>
        <v>0.94764497999999997</v>
      </c>
      <c r="E19">
        <v>3.16227766</v>
      </c>
      <c r="F19">
        <v>9</v>
      </c>
      <c r="G19">
        <v>0.57050417200000003</v>
      </c>
      <c r="H19">
        <v>-0.22949582800000001</v>
      </c>
      <c r="I19">
        <v>0.75677668600000003</v>
      </c>
      <c r="J19">
        <f>1-I19</f>
        <v>0.24322331399999997</v>
      </c>
      <c r="L19">
        <f>I19/C19</f>
        <v>14.454711047765811</v>
      </c>
      <c r="M19">
        <f t="shared" ref="M19" si="38">LOG10(L19)</f>
        <v>1.1600094144698299</v>
      </c>
      <c r="O19">
        <f>J19/D19</f>
        <v>0.25666079505850387</v>
      </c>
      <c r="P19">
        <f t="shared" si="4"/>
        <v>-0.59064046475312704</v>
      </c>
      <c r="R19" s="4">
        <f>_xlfn.T.DIST.RT(E19*(G19-0.2),F19)</f>
        <v>0.1357124560437393</v>
      </c>
      <c r="S19">
        <f>R19*M19</f>
        <v>0.15742772667156055</v>
      </c>
      <c r="T19">
        <f>(1-R19)*P19</f>
        <v>-0.51048319664266451</v>
      </c>
      <c r="U19" s="2">
        <f>_xlfn.T.DIST.RT(E19*(G19-0.4),F19)</f>
        <v>0.30142112466614968</v>
      </c>
      <c r="V19">
        <f>U19*M19</f>
        <v>0.34965134233281786</v>
      </c>
      <c r="W19">
        <f>(1-U19)*P19</f>
        <v>-0.41260895159390215</v>
      </c>
      <c r="X19" s="2">
        <f>_xlfn.T.DIST.RT(E19*(G19-0.8),F19)</f>
        <v>0.75677668546470067</v>
      </c>
      <c r="Y19">
        <f>X19*M19</f>
        <v>0.87786807979032599</v>
      </c>
      <c r="Z19">
        <f>(1-X19)*P19</f>
        <v>-0.1436575315359252</v>
      </c>
      <c r="AB19">
        <f>C19*M19</f>
        <v>6.0732316094756232E-2</v>
      </c>
      <c r="AC19">
        <f>D19*P19</f>
        <v>-0.55971747140816774</v>
      </c>
      <c r="AD19">
        <f>(C19+0.01)*M19</f>
        <v>7.2332410239454539E-2</v>
      </c>
      <c r="AE19">
        <f>(D19-0.01)*P19</f>
        <v>-0.55381106676063652</v>
      </c>
      <c r="AF19">
        <f>(C19+0.05)*M19</f>
        <v>0.11873278681824773</v>
      </c>
      <c r="AG19">
        <f>(D19-0.05)*P19</f>
        <v>-0.53018544817051139</v>
      </c>
      <c r="AH19">
        <f>(C19+0.1)*M19</f>
        <v>0.17673325754173921</v>
      </c>
      <c r="AI19">
        <f>(D19-0.1)*P19</f>
        <v>-0.50065342493285503</v>
      </c>
      <c r="AK19">
        <f t="shared" si="5"/>
        <v>-0.35305546997110393</v>
      </c>
      <c r="AL19">
        <f t="shared" si="6"/>
        <v>-6.2957609261084291E-2</v>
      </c>
      <c r="AM19">
        <f t="shared" si="7"/>
        <v>0.7342105482544008</v>
      </c>
      <c r="AN19">
        <f t="shared" si="8"/>
        <v>-0.49898515531341153</v>
      </c>
      <c r="AO19">
        <f t="shared" si="9"/>
        <v>-0.48147865652118199</v>
      </c>
      <c r="AP19">
        <f t="shared" si="10"/>
        <v>-0.41145266135226366</v>
      </c>
      <c r="AQ19">
        <f t="shared" si="13"/>
        <v>-0.32392016739111584</v>
      </c>
    </row>
    <row r="20" spans="1:43" x14ac:dyDescent="0.3">
      <c r="A20">
        <v>10</v>
      </c>
      <c r="B20">
        <v>0.8</v>
      </c>
      <c r="C20">
        <v>0.05</v>
      </c>
      <c r="D20">
        <f t="shared" si="0"/>
        <v>0.95</v>
      </c>
      <c r="E20">
        <f t="shared" ref="E20:E35" si="39">SQRT(A20)</f>
        <v>3.1622776601683795</v>
      </c>
      <c r="F20">
        <f t="shared" ref="F20:F35" si="40">A20-1</f>
        <v>9</v>
      </c>
      <c r="G20">
        <f t="shared" ref="G20:G35" si="41">-_xlfn.T.INV(C20,F20)/E20</f>
        <v>0.57968120755045616</v>
      </c>
      <c r="H20">
        <f t="shared" ref="H20:H35" si="42">G20-B20</f>
        <v>-0.22031879244954389</v>
      </c>
      <c r="I20" s="2">
        <f>_xlfn.T.DIST.RT(E20*H20,F20)</f>
        <v>0.74820967955516515</v>
      </c>
      <c r="J20">
        <f>1-I20</f>
        <v>0.25179032044483485</v>
      </c>
      <c r="L20">
        <f>I20/C20</f>
        <v>14.964193591103303</v>
      </c>
      <c r="M20">
        <f t="shared" ref="M20:M35" si="43">LOG10(L20)</f>
        <v>1.1750533180108016</v>
      </c>
      <c r="O20">
        <f>J20/D20</f>
        <v>0.2650424425735104</v>
      </c>
      <c r="P20">
        <f t="shared" si="4"/>
        <v>-0.57668457474415724</v>
      </c>
      <c r="R20" s="4">
        <f>_xlfn.T.DIST.RT(E20*(G20-0.2),F20)</f>
        <v>0.13026519081741106</v>
      </c>
      <c r="S20">
        <f>R20*M20</f>
        <v>0.15306854469130907</v>
      </c>
      <c r="T20">
        <f>(1-R20)*P20</f>
        <v>-0.50156264857365207</v>
      </c>
      <c r="U20" s="2">
        <f>_xlfn.T.DIST.RT(E20*(G20-0.4),F20)</f>
        <v>0.29189696722150948</v>
      </c>
      <c r="V20">
        <f>U20*M20</f>
        <v>0.34299449985092489</v>
      </c>
      <c r="W20">
        <f>(1-U20)*P20</f>
        <v>-0.40835209633291186</v>
      </c>
      <c r="X20" s="2">
        <f>_xlfn.T.DIST.RT(E20*(G20-0.8),F20)</f>
        <v>0.74820967955516515</v>
      </c>
      <c r="Y20">
        <f>X20*M20</f>
        <v>0.87918626652909548</v>
      </c>
      <c r="Z20">
        <f>(1-X20)*P20</f>
        <v>-0.14520359387042467</v>
      </c>
      <c r="AB20">
        <f>C20*M20</f>
        <v>5.8752665900540083E-2</v>
      </c>
      <c r="AC20">
        <f>D20*P20</f>
        <v>-0.54785034600694937</v>
      </c>
      <c r="AD20">
        <f>(C20+0.01)*M20</f>
        <v>7.0503199080648102E-2</v>
      </c>
      <c r="AE20">
        <f>(D20-0.01)*P20</f>
        <v>-0.5420835002595078</v>
      </c>
      <c r="AF20">
        <f>(C20+0.05)*M20</f>
        <v>0.11750533180108017</v>
      </c>
      <c r="AG20">
        <f>(D20-0.05)*P20</f>
        <v>-0.51901611726974151</v>
      </c>
      <c r="AH20">
        <f>(C20+0.1)*M20</f>
        <v>0.17625799770162026</v>
      </c>
      <c r="AI20">
        <f>(D20-0.1)*P20</f>
        <v>-0.49018188853253364</v>
      </c>
      <c r="AK20">
        <f t="shared" si="5"/>
        <v>-0.34849410388234303</v>
      </c>
      <c r="AL20">
        <f t="shared" si="6"/>
        <v>-6.5357596481986968E-2</v>
      </c>
      <c r="AM20">
        <f t="shared" si="7"/>
        <v>0.73398267265867079</v>
      </c>
      <c r="AN20">
        <f t="shared" si="8"/>
        <v>-0.4890976801064093</v>
      </c>
      <c r="AO20">
        <f t="shared" si="9"/>
        <v>-0.47158030117885968</v>
      </c>
      <c r="AP20">
        <f t="shared" si="10"/>
        <v>-0.40151078546866137</v>
      </c>
      <c r="AQ20">
        <f t="shared" si="13"/>
        <v>-0.31392389083091338</v>
      </c>
    </row>
    <row r="21" spans="1:43" x14ac:dyDescent="0.3">
      <c r="A21">
        <v>10</v>
      </c>
      <c r="B21">
        <v>0.8</v>
      </c>
      <c r="C21">
        <v>0.02</v>
      </c>
      <c r="D21">
        <f t="shared" si="0"/>
        <v>0.98</v>
      </c>
      <c r="E21">
        <f t="shared" si="39"/>
        <v>3.1622776601683795</v>
      </c>
      <c r="F21">
        <f t="shared" si="40"/>
        <v>9</v>
      </c>
      <c r="G21">
        <f t="shared" si="41"/>
        <v>0.75845363456439774</v>
      </c>
      <c r="H21">
        <f t="shared" si="42"/>
        <v>-4.1546365435602306E-2</v>
      </c>
      <c r="I21" s="2">
        <f>_xlfn.T.DIST.RT(E21*H21,F21)</f>
        <v>0.5508180725573526</v>
      </c>
      <c r="J21">
        <f>1-I21</f>
        <v>0.4491819274426474</v>
      </c>
      <c r="L21">
        <f>I21/C21</f>
        <v>27.540903627867628</v>
      </c>
      <c r="M21">
        <f t="shared" si="43"/>
        <v>1.43997818552724</v>
      </c>
      <c r="O21">
        <f>J21/D21</f>
        <v>0.45834890555372182</v>
      </c>
      <c r="P21">
        <f t="shared" si="4"/>
        <v>-0.33880380132174354</v>
      </c>
      <c r="R21" s="4">
        <f>_xlfn.T.DIST.RT(E21*(G21-0.2),F21)</f>
        <v>5.5604145400447162E-2</v>
      </c>
      <c r="S21">
        <f>R21*M21</f>
        <v>8.0068756401528732E-2</v>
      </c>
      <c r="T21">
        <f>(1-R21)*P21</f>
        <v>-0.31996490549082512</v>
      </c>
      <c r="U21" s="2">
        <f>_xlfn.T.DIST.RT(E21*(G21-0.4),F21)</f>
        <v>0.14314141738935346</v>
      </c>
      <c r="V21">
        <f>U21*M21</f>
        <v>0.20612051848611851</v>
      </c>
      <c r="W21">
        <f>(1-U21)*P21</f>
        <v>-0.29030694498364823</v>
      </c>
      <c r="X21" s="2">
        <f>_xlfn.T.DIST.RT(E21*(G21-0.8),F21)</f>
        <v>0.5508180725573526</v>
      </c>
      <c r="Y21">
        <f>X21*M21</f>
        <v>0.79316600867674825</v>
      </c>
      <c r="Z21">
        <f>(1-X21)*P21</f>
        <v>-0.15218454450259652</v>
      </c>
      <c r="AB21">
        <f>C21*M21</f>
        <v>2.87995637105448E-2</v>
      </c>
      <c r="AC21">
        <f>D21*P21</f>
        <v>-0.33202772529530866</v>
      </c>
      <c r="AD21">
        <f>(C21+0.01)*M21</f>
        <v>4.3199345565817199E-2</v>
      </c>
      <c r="AE21">
        <f>(D21-0.01)*P21</f>
        <v>-0.3286396872820912</v>
      </c>
      <c r="AF21">
        <f>(C21+0.05)*M21</f>
        <v>0.10079847298690681</v>
      </c>
      <c r="AG21">
        <f>(D21-0.05)*P21</f>
        <v>-0.31508753522922145</v>
      </c>
      <c r="AH21">
        <f>(C21+0.1)*M21</f>
        <v>0.17279738226326882</v>
      </c>
      <c r="AI21">
        <f>(D21-0.1)*P21</f>
        <v>-0.29814734516313429</v>
      </c>
      <c r="AK21">
        <f t="shared" si="5"/>
        <v>-0.23989614908929641</v>
      </c>
      <c r="AL21">
        <f t="shared" si="6"/>
        <v>-8.4186426497529721E-2</v>
      </c>
      <c r="AM21">
        <f t="shared" si="7"/>
        <v>0.64098146417415169</v>
      </c>
      <c r="AN21">
        <f t="shared" si="8"/>
        <v>-0.30322816158476384</v>
      </c>
      <c r="AO21">
        <f t="shared" si="9"/>
        <v>-0.28544034171627397</v>
      </c>
      <c r="AP21">
        <f t="shared" si="10"/>
        <v>-0.21428906224231464</v>
      </c>
      <c r="AQ21">
        <f t="shared" si="13"/>
        <v>-0.12534996289986547</v>
      </c>
    </row>
    <row r="22" spans="1:43" x14ac:dyDescent="0.3">
      <c r="A22">
        <v>10</v>
      </c>
      <c r="B22">
        <v>0.8</v>
      </c>
      <c r="C22">
        <v>0.01</v>
      </c>
      <c r="D22">
        <f t="shared" si="0"/>
        <v>0.99</v>
      </c>
      <c r="E22">
        <f t="shared" si="39"/>
        <v>3.1622776601683795</v>
      </c>
      <c r="F22">
        <f t="shared" si="40"/>
        <v>9</v>
      </c>
      <c r="G22">
        <f t="shared" si="41"/>
        <v>0.89221701198609404</v>
      </c>
      <c r="H22">
        <f t="shared" si="42"/>
        <v>9.2217011986094E-2</v>
      </c>
      <c r="I22" s="2">
        <f>_xlfn.T.DIST.RT(E22*H22,F22)</f>
        <v>0.38859506302224545</v>
      </c>
      <c r="J22">
        <f>1-I22</f>
        <v>0.61140493697775455</v>
      </c>
      <c r="L22">
        <f>I22/C22</f>
        <v>38.859506302224545</v>
      </c>
      <c r="M22">
        <f t="shared" si="43"/>
        <v>1.5894972787243502</v>
      </c>
      <c r="O22">
        <f>J22/D22</f>
        <v>0.6175807444219743</v>
      </c>
      <c r="P22">
        <f t="shared" si="4"/>
        <v>-0.20930625334856681</v>
      </c>
      <c r="R22" s="4">
        <f>_xlfn.T.DIST.RT(E22*(G22-0.2),F22)</f>
        <v>2.8171816279786436E-2</v>
      </c>
      <c r="S22">
        <f>R22*M22</f>
        <v>4.477902531344289E-2</v>
      </c>
      <c r="T22">
        <f>(1-R22)*P22</f>
        <v>-0.20340971603302055</v>
      </c>
      <c r="U22" s="2">
        <f>_xlfn.T.DIST.RT(E22*(G22-0.4),F22)</f>
        <v>7.7003945877759439E-2</v>
      </c>
      <c r="V22">
        <f>U22*M22</f>
        <v>0.12239756242373577</v>
      </c>
      <c r="W22">
        <f>(1-U22)*P22</f>
        <v>-0.19318884594383717</v>
      </c>
      <c r="X22" s="2">
        <f>_xlfn.T.DIST.RT(E22*(G22-0.8),F22)</f>
        <v>0.38859506302224545</v>
      </c>
      <c r="Y22">
        <f>X22*M22</f>
        <v>0.61767079519957646</v>
      </c>
      <c r="Z22">
        <f>(1-X22)*P22</f>
        <v>-0.12797087663763043</v>
      </c>
      <c r="AB22">
        <f>C22*M22</f>
        <v>1.5894972787243503E-2</v>
      </c>
      <c r="AC22">
        <f>D22*P22</f>
        <v>-0.20721319081508113</v>
      </c>
      <c r="AD22">
        <f>(C22+0.01)*M22</f>
        <v>3.1789945574487007E-2</v>
      </c>
      <c r="AE22">
        <f>(D22-0.01)*P22</f>
        <v>-0.20512012828159548</v>
      </c>
      <c r="AF22">
        <f>(C22+0.05)*M22</f>
        <v>9.5369836723461027E-2</v>
      </c>
      <c r="AG22">
        <f>(D22-0.05)*P22</f>
        <v>-0.19674787814765279</v>
      </c>
      <c r="AH22">
        <f>(C22+0.1)*M22</f>
        <v>0.17484470065967853</v>
      </c>
      <c r="AI22">
        <f>(D22-0.1)*P22</f>
        <v>-0.18628256548022445</v>
      </c>
      <c r="AK22">
        <f t="shared" si="5"/>
        <v>-0.15863069071957767</v>
      </c>
      <c r="AL22">
        <f t="shared" si="6"/>
        <v>-7.0791283520101403E-2</v>
      </c>
      <c r="AM22">
        <f t="shared" si="7"/>
        <v>0.48969991856194606</v>
      </c>
      <c r="AN22">
        <f t="shared" si="8"/>
        <v>-0.19131821802783763</v>
      </c>
      <c r="AO22">
        <f t="shared" si="9"/>
        <v>-0.17333018270710848</v>
      </c>
      <c r="AP22">
        <f t="shared" si="10"/>
        <v>-0.10137804142419177</v>
      </c>
      <c r="AQ22">
        <f t="shared" si="13"/>
        <v>-1.1437864820545929E-2</v>
      </c>
    </row>
    <row r="23" spans="1:43" x14ac:dyDescent="0.3">
      <c r="A23">
        <v>10</v>
      </c>
      <c r="B23">
        <v>0.8</v>
      </c>
      <c r="C23">
        <v>5.0000000000000001E-3</v>
      </c>
      <c r="D23">
        <f t="shared" ref="D23" si="44">1-C23</f>
        <v>0.995</v>
      </c>
      <c r="E23">
        <f t="shared" ref="E23" si="45">SQRT(A23)</f>
        <v>3.1622776601683795</v>
      </c>
      <c r="F23">
        <f t="shared" ref="F23" si="46">A23-1</f>
        <v>9</v>
      </c>
      <c r="G23">
        <f t="shared" ref="G23" si="47">-_xlfn.T.INV(C23,F23)/E23</f>
        <v>1.0276882332397985</v>
      </c>
      <c r="H23">
        <f t="shared" ref="H23" si="48">G23-B23</f>
        <v>0.22768823323979848</v>
      </c>
      <c r="I23" s="2">
        <f>_xlfn.T.DIST.RT(E23*H23,F23)</f>
        <v>0.24489601991672633</v>
      </c>
      <c r="J23">
        <f>1-I23</f>
        <v>0.75510398008327373</v>
      </c>
      <c r="L23">
        <f>I23/C23</f>
        <v>48.979203983345265</v>
      </c>
      <c r="M23">
        <f t="shared" ref="M23" si="49">LOG10(L23)</f>
        <v>1.6900117226333284</v>
      </c>
      <c r="O23">
        <f>J23/D23</f>
        <v>0.75889847244550124</v>
      </c>
      <c r="P23">
        <f t="shared" ref="P23" si="50">LOG10(O23)</f>
        <v>-0.11981632134560147</v>
      </c>
      <c r="R23" s="4">
        <f>_xlfn.T.DIST.RT(E23*(G23-0.2),F23)</f>
        <v>1.3965338864535834E-2</v>
      </c>
      <c r="S23">
        <f>R23*M23</f>
        <v>2.3601586391612375E-2</v>
      </c>
      <c r="T23">
        <f>(1-R23)*P23</f>
        <v>-0.11814304581650802</v>
      </c>
      <c r="U23" s="2">
        <f>_xlfn.T.DIST.RT(E23*(G23-0.4),F23)</f>
        <v>3.921760791995027E-2</v>
      </c>
      <c r="V23">
        <f>U23*M23</f>
        <v>6.6278217118353619E-2</v>
      </c>
      <c r="W23">
        <f>(1-U23)*P23</f>
        <v>-0.1151174118326589</v>
      </c>
      <c r="X23" s="2">
        <f>_xlfn.T.DIST.RT(E23*(G23-0.8),F23)</f>
        <v>0.24489601991672633</v>
      </c>
      <c r="Y23">
        <f>X23*M23</f>
        <v>0.41387714448551255</v>
      </c>
      <c r="Z23">
        <f>(1-X23)*P23</f>
        <v>-9.0473781127000177E-2</v>
      </c>
      <c r="AB23">
        <f>C23*M23</f>
        <v>8.4500586131666423E-3</v>
      </c>
      <c r="AC23">
        <f>D23*P23</f>
        <v>-0.11921723973887347</v>
      </c>
      <c r="AD23">
        <f>(C23+0.01)*M23</f>
        <v>2.5350175839499927E-2</v>
      </c>
      <c r="AE23">
        <f>(D23-0.01)*P23</f>
        <v>-0.11801907652541745</v>
      </c>
      <c r="AF23">
        <f>(C23+0.05)*M23</f>
        <v>9.2950644744833069E-2</v>
      </c>
      <c r="AG23">
        <f>(D23-0.05)*P23</f>
        <v>-0.11322642367159338</v>
      </c>
      <c r="AH23">
        <f>(C23+0.1)*M23</f>
        <v>0.1774512308764995</v>
      </c>
      <c r="AI23">
        <f>(D23-0.1)*P23</f>
        <v>-0.10723560760431332</v>
      </c>
      <c r="AK23">
        <f t="shared" ref="AK23" si="51">S23+T23</f>
        <v>-9.4541459424895641E-2</v>
      </c>
      <c r="AL23">
        <f t="shared" ref="AL23" si="52">V23+W23</f>
        <v>-4.8839194714305284E-2</v>
      </c>
      <c r="AM23">
        <f t="shared" ref="AM23" si="53">Y23+Z23</f>
        <v>0.32340336335851239</v>
      </c>
      <c r="AN23">
        <f t="shared" ref="AN23" si="54">AB23+AC23</f>
        <v>-0.11076718112570683</v>
      </c>
      <c r="AO23">
        <f t="shared" ref="AO23" si="55">AD23+AE23</f>
        <v>-9.2668900685917516E-2</v>
      </c>
      <c r="AP23">
        <f t="shared" ref="AP23" si="56">AF23+AG23</f>
        <v>-2.0275778926760316E-2</v>
      </c>
      <c r="AQ23">
        <f t="shared" ref="AQ23" si="57">AH23+AI23</f>
        <v>7.0215623272186181E-2</v>
      </c>
    </row>
    <row r="24" spans="1:43" x14ac:dyDescent="0.3">
      <c r="A24">
        <v>10</v>
      </c>
      <c r="B24">
        <v>0.8</v>
      </c>
      <c r="C24">
        <v>2E-3</v>
      </c>
      <c r="D24">
        <f t="shared" si="0"/>
        <v>0.998</v>
      </c>
      <c r="E24">
        <f t="shared" si="39"/>
        <v>3.1622776601683795</v>
      </c>
      <c r="F24">
        <f t="shared" si="40"/>
        <v>9</v>
      </c>
      <c r="G24">
        <f t="shared" si="41"/>
        <v>1.212578616293893</v>
      </c>
      <c r="H24">
        <f t="shared" si="42"/>
        <v>0.41257861629389292</v>
      </c>
      <c r="I24" s="2">
        <f>_xlfn.T.DIST.RT(E24*H24,F24)</f>
        <v>0.11218590065965345</v>
      </c>
      <c r="J24">
        <f>1-I24</f>
        <v>0.8878140993403465</v>
      </c>
      <c r="L24">
        <f>I24/C24</f>
        <v>56.092950329826721</v>
      </c>
      <c r="M24">
        <f t="shared" si="43"/>
        <v>1.7489082832661804</v>
      </c>
      <c r="O24">
        <f>J24/D24</f>
        <v>0.88959328591217079</v>
      </c>
      <c r="P24">
        <f t="shared" si="4"/>
        <v>-5.0808503529889672E-2</v>
      </c>
      <c r="R24" s="4">
        <f>_xlfn.T.DIST.RT(E24*(G24-0.2),F24)</f>
        <v>5.3978245323618185E-3</v>
      </c>
      <c r="S24">
        <f>R24*M24</f>
        <v>9.440300036264981E-3</v>
      </c>
      <c r="T24">
        <f>(1-R24)*P24</f>
        <v>-5.0534248143083438E-2</v>
      </c>
      <c r="U24" s="2">
        <f>_xlfn.T.DIST.RT(E24*(G24-0.4),F24)</f>
        <v>1.5103825629710332E-2</v>
      </c>
      <c r="V24">
        <f>U24*M24</f>
        <v>2.6415205752808434E-2</v>
      </c>
      <c r="W24">
        <f>(1-U24)*P24</f>
        <v>-5.0041100752067698E-2</v>
      </c>
      <c r="X24" s="2">
        <f>_xlfn.T.DIST.RT(E24*(G24-0.8),F24)</f>
        <v>0.11218590065965345</v>
      </c>
      <c r="Y24">
        <f>X24*M24</f>
        <v>0.19620285092934478</v>
      </c>
      <c r="Z24">
        <f>(1-X24)*P24</f>
        <v>-4.5108505800219814E-2</v>
      </c>
      <c r="AB24">
        <f>C24*M24</f>
        <v>3.4978165665323609E-3</v>
      </c>
      <c r="AC24">
        <f>D24*P24</f>
        <v>-5.070688652282989E-2</v>
      </c>
      <c r="AD24">
        <f>(C24+0.01)*M24</f>
        <v>2.0986899399194167E-2</v>
      </c>
      <c r="AE24">
        <f>(D24-0.01)*P24</f>
        <v>-5.0198801487530996E-2</v>
      </c>
      <c r="AF24">
        <f>(C24+0.05)*M24</f>
        <v>9.0943230729841396E-2</v>
      </c>
      <c r="AG24">
        <f>(D24-0.05)*P24</f>
        <v>-4.8166461346335405E-2</v>
      </c>
      <c r="AH24">
        <f>(C24+0.1)*M24</f>
        <v>0.17838864489315043</v>
      </c>
      <c r="AI24">
        <f>(D24-0.1)*P24</f>
        <v>-4.5626036169840928E-2</v>
      </c>
      <c r="AK24">
        <f t="shared" si="5"/>
        <v>-4.1093948106818455E-2</v>
      </c>
      <c r="AL24">
        <f t="shared" si="6"/>
        <v>-2.3625894999259264E-2</v>
      </c>
      <c r="AM24">
        <f t="shared" si="7"/>
        <v>0.15109434512912495</v>
      </c>
      <c r="AN24">
        <f t="shared" si="8"/>
        <v>-4.7209069956297527E-2</v>
      </c>
      <c r="AO24">
        <f t="shared" si="9"/>
        <v>-2.9211902088336829E-2</v>
      </c>
      <c r="AP24">
        <f t="shared" si="10"/>
        <v>4.277676938350599E-2</v>
      </c>
      <c r="AQ24">
        <f t="shared" si="13"/>
        <v>0.1327626087233095</v>
      </c>
    </row>
    <row r="25" spans="1:43" x14ac:dyDescent="0.3">
      <c r="A25">
        <v>10</v>
      </c>
      <c r="B25">
        <v>0.8</v>
      </c>
      <c r="C25">
        <v>1E-3</v>
      </c>
      <c r="D25">
        <f t="shared" si="0"/>
        <v>0.999</v>
      </c>
      <c r="E25">
        <f t="shared" si="39"/>
        <v>3.1622776601683795</v>
      </c>
      <c r="F25">
        <f t="shared" si="40"/>
        <v>9</v>
      </c>
      <c r="G25">
        <f t="shared" si="41"/>
        <v>1.3587692557335809</v>
      </c>
      <c r="H25">
        <f t="shared" si="42"/>
        <v>0.55876925573358083</v>
      </c>
      <c r="I25" s="2">
        <f>_xlfn.T.DIST.RT(E25*H25,F25)</f>
        <v>5.5516716976493602E-2</v>
      </c>
      <c r="J25">
        <f>1-I25</f>
        <v>0.94448328302350637</v>
      </c>
      <c r="L25">
        <f>I25/C25</f>
        <v>55.516716976493598</v>
      </c>
      <c r="M25">
        <f t="shared" si="43"/>
        <v>1.7444237758698926</v>
      </c>
      <c r="O25">
        <f>J25/D25</f>
        <v>0.94542871173524157</v>
      </c>
      <c r="P25">
        <f t="shared" si="4"/>
        <v>-2.4371212738797235E-2</v>
      </c>
      <c r="R25" s="4">
        <f>_xlfn.T.DIST.RT(E25*(G25-0.2),F25)</f>
        <v>2.6001309052039248E-3</v>
      </c>
      <c r="S25">
        <f>R25*M25</f>
        <v>4.5357301714118326E-3</v>
      </c>
      <c r="T25">
        <f>(1-R25)*P25</f>
        <v>-2.4307844395357787E-2</v>
      </c>
      <c r="U25" s="2">
        <f>_xlfn.T.DIST.RT(E25*(G25-0.4),F25)</f>
        <v>7.1015248540735928E-3</v>
      </c>
      <c r="V25">
        <f>U25*M25</f>
        <v>1.2388068800376946E-2</v>
      </c>
      <c r="W25">
        <f>(1-U25)*P25</f>
        <v>-2.4198139965808753E-2</v>
      </c>
      <c r="X25" s="2">
        <f>_xlfn.T.DIST.RT(E25*(G25-0.8),F25)</f>
        <v>5.5516716976493602E-2</v>
      </c>
      <c r="Y25">
        <f>X25*M25</f>
        <v>9.6844681052035142E-2</v>
      </c>
      <c r="Z25">
        <f>(1-X25)*P25</f>
        <v>-2.3018203018803512E-2</v>
      </c>
      <c r="AB25">
        <f>C25*M25</f>
        <v>1.7444237758698926E-3</v>
      </c>
      <c r="AC25">
        <f>D25*P25</f>
        <v>-2.4346841526058437E-2</v>
      </c>
      <c r="AD25">
        <f>(C25+0.01)*M25</f>
        <v>1.9188661534568819E-2</v>
      </c>
      <c r="AE25">
        <f>(D25-0.01)*P25</f>
        <v>-2.4103129398670466E-2</v>
      </c>
      <c r="AF25">
        <f>(C25+0.05)*M25</f>
        <v>8.8965612569364527E-2</v>
      </c>
      <c r="AG25">
        <f>(D25-0.05)*P25</f>
        <v>-2.3128280889118575E-2</v>
      </c>
      <c r="AH25">
        <f>(C25+0.1)*M25</f>
        <v>0.17618680136285916</v>
      </c>
      <c r="AI25">
        <f>(D25-0.1)*P25</f>
        <v>-2.1909720252178716E-2</v>
      </c>
      <c r="AK25">
        <f t="shared" si="5"/>
        <v>-1.9772114223945952E-2</v>
      </c>
      <c r="AL25">
        <f t="shared" si="6"/>
        <v>-1.1810071165431807E-2</v>
      </c>
      <c r="AM25">
        <f t="shared" si="7"/>
        <v>7.3826478033231627E-2</v>
      </c>
      <c r="AN25">
        <f t="shared" si="8"/>
        <v>-2.2602417750188546E-2</v>
      </c>
      <c r="AO25">
        <f t="shared" si="9"/>
        <v>-4.9144678641016466E-3</v>
      </c>
      <c r="AP25">
        <f t="shared" si="10"/>
        <v>6.5837331680245956E-2</v>
      </c>
      <c r="AQ25">
        <f t="shared" si="13"/>
        <v>0.15427708111068045</v>
      </c>
    </row>
    <row r="26" spans="1:43" x14ac:dyDescent="0.3">
      <c r="A26">
        <v>10</v>
      </c>
      <c r="B26">
        <v>0.8</v>
      </c>
      <c r="C26">
        <v>1E-4</v>
      </c>
      <c r="D26">
        <f t="shared" si="0"/>
        <v>0.99990000000000001</v>
      </c>
      <c r="E26">
        <f t="shared" si="39"/>
        <v>3.1622776601683795</v>
      </c>
      <c r="F26">
        <f t="shared" si="40"/>
        <v>9</v>
      </c>
      <c r="G26">
        <f t="shared" si="41"/>
        <v>1.9005706566454459</v>
      </c>
      <c r="H26">
        <f t="shared" si="42"/>
        <v>1.1005706566454458</v>
      </c>
      <c r="I26" s="2">
        <f>_xlfn.T.DIST.RT(E26*H26,F26)</f>
        <v>3.4675851614543356E-3</v>
      </c>
      <c r="J26">
        <f>1-I26</f>
        <v>0.99653241483854571</v>
      </c>
      <c r="L26">
        <f>I26/C26</f>
        <v>34.675851614543355</v>
      </c>
      <c r="M26">
        <f t="shared" si="43"/>
        <v>1.5400271358435258</v>
      </c>
      <c r="O26">
        <f>J26/D26</f>
        <v>0.99663207804635034</v>
      </c>
      <c r="P26">
        <f t="shared" si="4"/>
        <v>-1.4651385433303848E-3</v>
      </c>
      <c r="R26" s="4">
        <f>_xlfn.T.DIST.RT(E26*(G26-0.2),F26)</f>
        <v>2.2292542782977487E-4</v>
      </c>
      <c r="S26">
        <f>R26*M26</f>
        <v>3.4331120812738084E-4</v>
      </c>
      <c r="T26">
        <f>(1-R26)*P26</f>
        <v>-1.464811926693783E-3</v>
      </c>
      <c r="U26" s="2">
        <f>_xlfn.T.DIST.RT(E26*(G26-0.4),F26)</f>
        <v>5.2560420708021229E-4</v>
      </c>
      <c r="V26">
        <f>U26*M26</f>
        <v>8.0944474161704673E-4</v>
      </c>
      <c r="W26">
        <f>(1-U26)*P26</f>
        <v>-1.4643684603480548E-3</v>
      </c>
      <c r="X26" s="2">
        <f>_xlfn.T.DIST.RT(E26*(G26-0.8),F26)</f>
        <v>3.4675851614543356E-3</v>
      </c>
      <c r="Y26">
        <f>X26*M26</f>
        <v>5.3401752444880305E-3</v>
      </c>
      <c r="Z26">
        <f>(1-X26)*P26</f>
        <v>-1.4600580506580576E-3</v>
      </c>
      <c r="AB26">
        <f>C26*M26</f>
        <v>1.5400271358435258E-4</v>
      </c>
      <c r="AC26">
        <f>D26*P26</f>
        <v>-1.4649920294760516E-3</v>
      </c>
      <c r="AD26">
        <f>(C26+0.01)*M26</f>
        <v>1.5554274072019611E-2</v>
      </c>
      <c r="AE26">
        <f>(D26-0.01)*P26</f>
        <v>-1.4503406440427478E-3</v>
      </c>
      <c r="AF26">
        <f>(C26+0.05)*M26</f>
        <v>7.7155359505760648E-2</v>
      </c>
      <c r="AG26">
        <f>(D26-0.05)*P26</f>
        <v>-1.3917351023095324E-3</v>
      </c>
      <c r="AH26">
        <f>(C26+0.1)*M26</f>
        <v>0.15415671629793695</v>
      </c>
      <c r="AI26">
        <f>(D26-0.1)*P26</f>
        <v>-1.3184781751430133E-3</v>
      </c>
      <c r="AK26">
        <f t="shared" si="5"/>
        <v>-1.1215007185664022E-3</v>
      </c>
      <c r="AL26">
        <f t="shared" si="6"/>
        <v>-6.5492371873100805E-4</v>
      </c>
      <c r="AM26">
        <f t="shared" si="7"/>
        <v>3.8801171938299727E-3</v>
      </c>
      <c r="AN26">
        <f t="shared" si="8"/>
        <v>-1.3109893158916991E-3</v>
      </c>
      <c r="AO26">
        <f t="shared" si="9"/>
        <v>1.4103933427976863E-2</v>
      </c>
      <c r="AP26">
        <f t="shared" si="10"/>
        <v>7.5763624403451121E-2</v>
      </c>
      <c r="AQ26">
        <f t="shared" si="13"/>
        <v>0.15283823812279393</v>
      </c>
    </row>
    <row r="27" spans="1:43" x14ac:dyDescent="0.3">
      <c r="A27">
        <v>10</v>
      </c>
      <c r="B27">
        <v>0.8</v>
      </c>
      <c r="C27">
        <v>1.0000000000000001E-5</v>
      </c>
      <c r="D27">
        <f t="shared" si="0"/>
        <v>0.99999000000000005</v>
      </c>
      <c r="E27">
        <f t="shared" si="39"/>
        <v>3.1622776601683795</v>
      </c>
      <c r="F27">
        <f t="shared" si="40"/>
        <v>9</v>
      </c>
      <c r="G27">
        <f t="shared" si="41"/>
        <v>2.5620956633401439</v>
      </c>
      <c r="H27">
        <f t="shared" si="42"/>
        <v>1.7620956633401439</v>
      </c>
      <c r="I27" s="2">
        <f>_xlfn.T.DIST.RT(E27*H27,F27)</f>
        <v>1.7319273863568814E-4</v>
      </c>
      <c r="J27">
        <f>1-I27</f>
        <v>0.9998268072613643</v>
      </c>
      <c r="L27">
        <f>I27/C27</f>
        <v>17.319273863568814</v>
      </c>
      <c r="M27">
        <f t="shared" si="43"/>
        <v>1.2385296796180492</v>
      </c>
      <c r="O27">
        <f>J27/D27</f>
        <v>0.99983680562942057</v>
      </c>
      <c r="P27">
        <f t="shared" si="4"/>
        <v>-7.088019840232682E-5</v>
      </c>
      <c r="R27" s="4">
        <f>_xlfn.T.DIST.RT(E27*(G27-0.2),F27)</f>
        <v>1.9062996937799218E-5</v>
      </c>
      <c r="S27">
        <f>R27*M27</f>
        <v>2.3610087489932317E-5</v>
      </c>
      <c r="T27">
        <f>(1-R27)*P27</f>
        <v>-7.0878847213321722E-5</v>
      </c>
      <c r="U27" s="2">
        <f>_xlfn.T.DIST.RT(E27*(G27-0.4),F27)</f>
        <v>3.7909471936612205E-5</v>
      </c>
      <c r="V27">
        <f>U27*M27</f>
        <v>4.6952006132141738E-5</v>
      </c>
      <c r="W27">
        <f>(1-U27)*P27</f>
        <v>-7.0877511371434624E-5</v>
      </c>
      <c r="X27" s="2">
        <f>_xlfn.T.DIST.RT(E27*(G27-0.8),F27)</f>
        <v>1.7319273863568814E-4</v>
      </c>
      <c r="Y27">
        <f>X27*M27</f>
        <v>2.1450434709463135E-4</v>
      </c>
      <c r="Z27">
        <f>(1-X27)*P27</f>
        <v>-7.0867922466650481E-5</v>
      </c>
      <c r="AB27">
        <f>C27*M27</f>
        <v>1.2385296796180493E-5</v>
      </c>
      <c r="AC27">
        <f>D27*P27</f>
        <v>-7.0879489600342795E-5</v>
      </c>
      <c r="AD27">
        <f>(C27+0.01)*M27</f>
        <v>1.2397682092976672E-2</v>
      </c>
      <c r="AE27">
        <f>(D27-0.01)*P27</f>
        <v>-7.0170687616319529E-5</v>
      </c>
      <c r="AF27">
        <f>(C27+0.05)*M27</f>
        <v>6.1938869277698642E-2</v>
      </c>
      <c r="AG27">
        <f>(D27-0.05)*P27</f>
        <v>-6.7335479680226453E-5</v>
      </c>
      <c r="AH27">
        <f>(C27+0.1)*M27</f>
        <v>0.1238653532586011</v>
      </c>
      <c r="AI27">
        <f>(D27-0.1)*P27</f>
        <v>-6.3791469760110124E-5</v>
      </c>
      <c r="AK27">
        <f t="shared" si="5"/>
        <v>-4.7268759723389405E-5</v>
      </c>
      <c r="AL27">
        <f t="shared" si="6"/>
        <v>-2.3925505239292886E-5</v>
      </c>
      <c r="AM27">
        <f t="shared" si="7"/>
        <v>1.4363642462798088E-4</v>
      </c>
      <c r="AN27">
        <f t="shared" si="8"/>
        <v>-5.8494192804162304E-5</v>
      </c>
      <c r="AO27">
        <f t="shared" si="9"/>
        <v>1.2327511405360352E-2</v>
      </c>
      <c r="AP27">
        <f t="shared" si="10"/>
        <v>6.1871533798018415E-2</v>
      </c>
      <c r="AQ27">
        <f t="shared" si="13"/>
        <v>0.12380156178884098</v>
      </c>
    </row>
    <row r="28" spans="1:43" x14ac:dyDescent="0.3">
      <c r="A28">
        <v>10</v>
      </c>
      <c r="B28">
        <v>0.8</v>
      </c>
      <c r="C28">
        <v>9.9999999999999995E-7</v>
      </c>
      <c r="D28">
        <f t="shared" si="0"/>
        <v>0.99999899999999997</v>
      </c>
      <c r="E28">
        <f t="shared" si="39"/>
        <v>3.1622776601683795</v>
      </c>
      <c r="F28">
        <f t="shared" si="40"/>
        <v>9</v>
      </c>
      <c r="G28">
        <f t="shared" si="41"/>
        <v>3.3900123777678304</v>
      </c>
      <c r="H28">
        <f t="shared" si="42"/>
        <v>2.5900123777678301</v>
      </c>
      <c r="I28" s="2">
        <f>_xlfn.T.DIST.RT(E28*H28,F28)</f>
        <v>9.1674571929052881E-6</v>
      </c>
      <c r="J28">
        <f>1-I28</f>
        <v>0.99999083254280707</v>
      </c>
      <c r="L28">
        <f>I28/C28</f>
        <v>9.1674571929052888</v>
      </c>
      <c r="M28">
        <f t="shared" si="43"/>
        <v>0.96224889071571384</v>
      </c>
      <c r="O28">
        <f>J28/D28</f>
        <v>0.99999183253463964</v>
      </c>
      <c r="P28">
        <f t="shared" si="4"/>
        <v>-3.5470996225687199E-6</v>
      </c>
      <c r="R28" s="4">
        <f>_xlfn.T.DIST.RT(E28*(G28-0.2),F28)</f>
        <v>1.6636137091698298E-6</v>
      </c>
      <c r="S28">
        <f>R28*M28</f>
        <v>1.6008104462281229E-6</v>
      </c>
      <c r="T28">
        <f>(1-R28)*P28</f>
        <v>-3.5470937215651602E-6</v>
      </c>
      <c r="U28" s="2">
        <f>_xlfn.T.DIST.RT(E28*(G28-0.4),F28)</f>
        <v>2.8461255762455466E-6</v>
      </c>
      <c r="V28">
        <f>U28*M28</f>
        <v>2.7386811785798989E-6</v>
      </c>
      <c r="W28">
        <f>(1-U28)*P28</f>
        <v>-3.5470895270777628E-6</v>
      </c>
      <c r="X28" s="2">
        <f>_xlfn.T.DIST.RT(E28*(G28-0.8),F28)</f>
        <v>9.1674571929052881E-6</v>
      </c>
      <c r="Y28">
        <f>X28*M28</f>
        <v>8.8213755145569062E-6</v>
      </c>
      <c r="Z28">
        <f>(1-X28)*P28</f>
        <v>-3.5470671046847711E-6</v>
      </c>
      <c r="AB28">
        <f>C28*M28</f>
        <v>9.622488907157138E-7</v>
      </c>
      <c r="AC28">
        <f>D28*P28</f>
        <v>-3.5470960754690972E-6</v>
      </c>
      <c r="AD28">
        <f>(C28+0.01)*M28</f>
        <v>9.6234511560478533E-3</v>
      </c>
      <c r="AE28">
        <f>(D28-0.01)*P28</f>
        <v>-3.5116250792434102E-6</v>
      </c>
      <c r="AF28">
        <f>(C28+0.05)*M28</f>
        <v>4.8113406784676412E-2</v>
      </c>
      <c r="AG28">
        <f>(D28-0.05)*P28</f>
        <v>-3.3697410943406613E-6</v>
      </c>
      <c r="AH28">
        <f>(C28+0.1)*M28</f>
        <v>9.6225851320462102E-2</v>
      </c>
      <c r="AI28">
        <f>(D28-0.1)*P28</f>
        <v>-3.1923861132122254E-6</v>
      </c>
      <c r="AK28">
        <f t="shared" si="5"/>
        <v>-1.9462832753370373E-6</v>
      </c>
      <c r="AL28">
        <f t="shared" si="6"/>
        <v>-8.084083484978639E-7</v>
      </c>
      <c r="AM28">
        <f t="shared" si="7"/>
        <v>5.2743084098721347E-6</v>
      </c>
      <c r="AN28">
        <f t="shared" si="8"/>
        <v>-2.5848471847533836E-6</v>
      </c>
      <c r="AO28">
        <f t="shared" si="9"/>
        <v>9.6199395309686103E-3</v>
      </c>
      <c r="AP28">
        <f t="shared" si="10"/>
        <v>4.811003704358207E-2</v>
      </c>
      <c r="AQ28">
        <f t="shared" si="13"/>
        <v>9.6222658934348893E-2</v>
      </c>
    </row>
    <row r="29" spans="1:43" x14ac:dyDescent="0.3">
      <c r="A29">
        <v>10</v>
      </c>
      <c r="B29">
        <v>0.8</v>
      </c>
      <c r="C29">
        <v>9.9999999999999995E-8</v>
      </c>
      <c r="D29">
        <f t="shared" si="0"/>
        <v>0.99999990000000005</v>
      </c>
      <c r="E29">
        <f t="shared" si="39"/>
        <v>3.1622776601683795</v>
      </c>
      <c r="F29">
        <f t="shared" si="40"/>
        <v>9</v>
      </c>
      <c r="G29">
        <f t="shared" si="41"/>
        <v>4.4400651204431076</v>
      </c>
      <c r="H29">
        <f t="shared" si="42"/>
        <v>3.6400651204431078</v>
      </c>
      <c r="I29" s="2">
        <f>_xlfn.T.DIST.RT(E29*H29,F29)</f>
        <v>5.4833774604892825E-7</v>
      </c>
      <c r="J29">
        <f>1-I29</f>
        <v>0.9999994516622539</v>
      </c>
      <c r="L29">
        <f>I29/C29</f>
        <v>5.4833774604892831</v>
      </c>
      <c r="M29">
        <f t="shared" si="43"/>
        <v>0.73904814253956219</v>
      </c>
      <c r="O29">
        <f>J29/D29</f>
        <v>0.999999551662209</v>
      </c>
      <c r="P29">
        <f t="shared" si="4"/>
        <v>-1.9471067230964378E-7</v>
      </c>
      <c r="R29" s="4">
        <f>_xlfn.T.DIST.RT(E29*(G29-0.2),F29)</f>
        <v>1.4882365281659089E-7</v>
      </c>
      <c r="S29">
        <f>R29*M29</f>
        <v>1.0998784418005419E-7</v>
      </c>
      <c r="T29">
        <f>(1-R29)*P29</f>
        <v>-1.9471064333209028E-7</v>
      </c>
      <c r="U29" s="2">
        <f>_xlfn.T.DIST.RT(E29*(G29-0.4),F29)</f>
        <v>2.2539811170781628E-7</v>
      </c>
      <c r="V29">
        <f>U29*M29</f>
        <v>1.6658005578958637E-7</v>
      </c>
      <c r="W29">
        <f>(1-U29)*P29</f>
        <v>-1.9471062842222592E-7</v>
      </c>
      <c r="X29" s="2">
        <f>_xlfn.T.DIST.RT(E29*(G29-0.8),F29)</f>
        <v>5.4833774604892825E-7</v>
      </c>
      <c r="Y29">
        <f>X29*M29</f>
        <v>4.0524799270179059E-7</v>
      </c>
      <c r="Z29">
        <f>(1-X29)*P29</f>
        <v>-1.9471056554243258E-7</v>
      </c>
      <c r="AB29">
        <f>C29*M29</f>
        <v>7.3904814253956213E-8</v>
      </c>
      <c r="AC29">
        <f>D29*P29</f>
        <v>-1.9471065283857655E-7</v>
      </c>
      <c r="AD29">
        <f>(C29+0.01)*M29</f>
        <v>7.390555330209876E-3</v>
      </c>
      <c r="AE29">
        <f>(D29-0.01)*P29</f>
        <v>-1.9276354611548012E-7</v>
      </c>
      <c r="AF29">
        <f>(C29+0.05)*M29</f>
        <v>3.695248103179237E-2</v>
      </c>
      <c r="AG29">
        <f>(D29-0.05)*P29</f>
        <v>-1.8497511922309435E-7</v>
      </c>
      <c r="AH29">
        <f>(C29+0.1)*M29</f>
        <v>7.3904888158770485E-2</v>
      </c>
      <c r="AI29">
        <f>(D29-0.1)*P29</f>
        <v>-1.7523958560761218E-7</v>
      </c>
      <c r="AK29">
        <f t="shared" si="5"/>
        <v>-8.4722799152036097E-8</v>
      </c>
      <c r="AL29">
        <f t="shared" si="6"/>
        <v>-2.8130572632639549E-8</v>
      </c>
      <c r="AM29">
        <f t="shared" si="7"/>
        <v>2.1053742715935801E-7</v>
      </c>
      <c r="AN29">
        <f t="shared" si="8"/>
        <v>-1.2080583858462034E-7</v>
      </c>
      <c r="AO29">
        <f t="shared" si="9"/>
        <v>7.3903625666637603E-3</v>
      </c>
      <c r="AP29">
        <f t="shared" si="10"/>
        <v>3.6952296056673148E-2</v>
      </c>
      <c r="AQ29">
        <f t="shared" si="13"/>
        <v>7.3904712919184878E-2</v>
      </c>
    </row>
    <row r="30" spans="1:43" x14ac:dyDescent="0.3">
      <c r="A30">
        <v>20</v>
      </c>
      <c r="B30">
        <v>0.8</v>
      </c>
      <c r="C30">
        <v>0.5</v>
      </c>
      <c r="D30">
        <f t="shared" ref="D30:D57" si="58">1-C30</f>
        <v>0.5</v>
      </c>
      <c r="E30">
        <f t="shared" si="39"/>
        <v>4.4721359549995796</v>
      </c>
      <c r="F30">
        <f t="shared" si="40"/>
        <v>19</v>
      </c>
      <c r="G30">
        <f t="shared" si="41"/>
        <v>0</v>
      </c>
      <c r="H30">
        <f t="shared" si="42"/>
        <v>-0.8</v>
      </c>
      <c r="I30" s="2">
        <f>_xlfn.T.DIST.RT(E30*H30,F30)</f>
        <v>0.99899614628692357</v>
      </c>
      <c r="J30">
        <f>1-I30</f>
        <v>1.0038537130764302E-3</v>
      </c>
      <c r="L30">
        <f>I30/C30</f>
        <v>1.9979922925738471</v>
      </c>
      <c r="M30">
        <f t="shared" si="43"/>
        <v>0.30059380856508661</v>
      </c>
      <c r="O30">
        <f>J30/D30</f>
        <v>2.0077074261528605E-3</v>
      </c>
      <c r="P30">
        <f t="shared" ref="P30:P57" si="59">LOG10(O30)</f>
        <v>-2.6972995746271562</v>
      </c>
      <c r="R30" s="4">
        <f>_xlfn.T.DIST.RT(E30*(G30-0.2),F30)</f>
        <v>0.80885793231628456</v>
      </c>
      <c r="S30">
        <f>R30*M30</f>
        <v>0.24313768646303302</v>
      </c>
      <c r="T30">
        <f>(1-R30)*P30</f>
        <v>-0.51556741785664073</v>
      </c>
      <c r="U30" s="2">
        <f>_xlfn.T.DIST.RT(E30*(G30-0.4),F30)</f>
        <v>0.95520273944023049</v>
      </c>
      <c r="V30">
        <f>U30*M30</f>
        <v>0.28712802940014293</v>
      </c>
      <c r="W30">
        <f>(1-U30)*P30</f>
        <v>-0.12083163185232819</v>
      </c>
      <c r="X30" s="2">
        <f>_xlfn.T.DIST.RT(E30*(G30-0.8),F30)</f>
        <v>0.99899614628692357</v>
      </c>
      <c r="Y30">
        <f>X30*M30</f>
        <v>0.30029205635423079</v>
      </c>
      <c r="Z30">
        <f>(1-X30)*P30</f>
        <v>-2.7076941932689465E-3</v>
      </c>
      <c r="AB30">
        <f>C30*M30</f>
        <v>0.1502969042825433</v>
      </c>
      <c r="AC30">
        <f>D30*P30</f>
        <v>-1.3486497873135781</v>
      </c>
      <c r="AD30">
        <f>(C30+0.01)*M30</f>
        <v>0.15330284236819416</v>
      </c>
      <c r="AE30">
        <f>(D30-0.01)*P30</f>
        <v>-1.3216767915673064</v>
      </c>
      <c r="AF30">
        <f>(C30+0.05)*M30</f>
        <v>0.16532659471079764</v>
      </c>
      <c r="AG30">
        <f>(D30-0.05)*P30</f>
        <v>-1.2137848085822203</v>
      </c>
      <c r="AH30">
        <f>(C30+0.1)*M30</f>
        <v>0.18035628513905197</v>
      </c>
      <c r="AI30">
        <f>(D30-0.1)*P30</f>
        <v>-1.0789198298508624</v>
      </c>
      <c r="AK30">
        <f t="shared" ref="AK30:AK57" si="60">S30+T30</f>
        <v>-0.27242973139360771</v>
      </c>
      <c r="AL30">
        <f t="shared" ref="AL30:AL57" si="61">V30+W30</f>
        <v>0.16629639754781472</v>
      </c>
      <c r="AM30">
        <f t="shared" ref="AM30:AM57" si="62">Y30+Z30</f>
        <v>0.29758436216096185</v>
      </c>
      <c r="AN30">
        <f t="shared" ref="AN30:AN57" si="63">AB30+AC30</f>
        <v>-1.1983528830310348</v>
      </c>
      <c r="AO30">
        <f t="shared" ref="AO30:AO57" si="64">AD30+AE30</f>
        <v>-1.1683739491991123</v>
      </c>
      <c r="AP30">
        <f t="shared" ref="AP30:AP57" si="65">AF30+AG30</f>
        <v>-1.0484582138714227</v>
      </c>
      <c r="AQ30">
        <f t="shared" si="13"/>
        <v>-0.89856354471181044</v>
      </c>
    </row>
    <row r="31" spans="1:43" x14ac:dyDescent="0.3">
      <c r="A31">
        <v>20</v>
      </c>
      <c r="B31">
        <v>0.8</v>
      </c>
      <c r="C31">
        <v>0.2</v>
      </c>
      <c r="D31">
        <f t="shared" si="58"/>
        <v>0.8</v>
      </c>
      <c r="E31">
        <f t="shared" si="39"/>
        <v>4.4721359549995796</v>
      </c>
      <c r="F31">
        <f t="shared" si="40"/>
        <v>19</v>
      </c>
      <c r="G31">
        <f t="shared" si="41"/>
        <v>0.19251439556671754</v>
      </c>
      <c r="H31">
        <f t="shared" si="42"/>
        <v>-0.60748560443328248</v>
      </c>
      <c r="I31" s="2">
        <f>_xlfn.T.DIST.RT(E31*H31,F31)</f>
        <v>0.99315747240287444</v>
      </c>
      <c r="J31">
        <f>1-I31</f>
        <v>6.8425275971255584E-3</v>
      </c>
      <c r="L31">
        <f>I31/C31</f>
        <v>4.965787362014372</v>
      </c>
      <c r="M31">
        <f t="shared" si="43"/>
        <v>0.69598811886716394</v>
      </c>
      <c r="O31">
        <f>J31/D31</f>
        <v>8.5531594964069479E-3</v>
      </c>
      <c r="P31">
        <f t="shared" si="59"/>
        <v>-2.0678734293196945</v>
      </c>
      <c r="R31" s="4">
        <f>_xlfn.T.DIST.RT(E31*(G31-0.2),F31)</f>
        <v>0.51317816032104047</v>
      </c>
      <c r="S31">
        <f>R31*M31</f>
        <v>0.35716590244555285</v>
      </c>
      <c r="T31">
        <f>(1-R31)*P31</f>
        <v>-1.0066859470846525</v>
      </c>
      <c r="U31" s="2">
        <f>_xlfn.T.DIST.RT(E31*(G31-0.4),F31)</f>
        <v>0.81745199801596491</v>
      </c>
      <c r="V31">
        <f>U31*M31</f>
        <v>0.56893687836333606</v>
      </c>
      <c r="W31">
        <f>(1-U31)*P31</f>
        <v>-0.37748616287818504</v>
      </c>
      <c r="X31" s="2">
        <f>_xlfn.T.DIST.RT(E31*(G31-0.8),F31)</f>
        <v>0.99315747240287444</v>
      </c>
      <c r="Y31">
        <f>X31*M31</f>
        <v>0.69122580095654385</v>
      </c>
      <c r="Z31">
        <f>(1-X31)*P31</f>
        <v>-1.4149481007482678E-2</v>
      </c>
      <c r="AB31">
        <f>C31*M31</f>
        <v>0.13919762377343278</v>
      </c>
      <c r="AC31">
        <f>D31*P31</f>
        <v>-1.6542987434557557</v>
      </c>
      <c r="AD31">
        <f>(C31+0.01)*M31</f>
        <v>0.14615750496210445</v>
      </c>
      <c r="AE31">
        <f>(D31-0.01)*P31</f>
        <v>-1.6336200091625588</v>
      </c>
      <c r="AF31">
        <f>(C31+0.05)*M31</f>
        <v>0.17399702971679099</v>
      </c>
      <c r="AG31">
        <f>(D31-0.05)*P31</f>
        <v>-1.5509050719897708</v>
      </c>
      <c r="AH31">
        <f>(C31+0.1)*M31</f>
        <v>0.20879643566014922</v>
      </c>
      <c r="AI31">
        <f>(D31-0.1)*P31</f>
        <v>-1.4475114005237864</v>
      </c>
      <c r="AK31">
        <f t="shared" si="60"/>
        <v>-0.64952004463909963</v>
      </c>
      <c r="AL31">
        <f t="shared" si="61"/>
        <v>0.19145071548515102</v>
      </c>
      <c r="AM31">
        <f t="shared" si="62"/>
        <v>0.67707631994906115</v>
      </c>
      <c r="AN31">
        <f t="shared" si="63"/>
        <v>-1.515101119682323</v>
      </c>
      <c r="AO31">
        <f t="shared" si="64"/>
        <v>-1.4874625042004543</v>
      </c>
      <c r="AP31">
        <f t="shared" si="65"/>
        <v>-1.3769080422729798</v>
      </c>
      <c r="AQ31">
        <f t="shared" si="13"/>
        <v>-1.2387149648636371</v>
      </c>
    </row>
    <row r="32" spans="1:43" x14ac:dyDescent="0.3">
      <c r="A32">
        <v>20</v>
      </c>
      <c r="B32">
        <v>0.8</v>
      </c>
      <c r="C32">
        <v>0.1</v>
      </c>
      <c r="D32">
        <f t="shared" si="58"/>
        <v>0.9</v>
      </c>
      <c r="E32">
        <f t="shared" si="39"/>
        <v>4.4721359549995796</v>
      </c>
      <c r="F32">
        <f t="shared" si="40"/>
        <v>19</v>
      </c>
      <c r="G32">
        <f t="shared" si="41"/>
        <v>0.29688905310279701</v>
      </c>
      <c r="H32">
        <f t="shared" si="42"/>
        <v>-0.50311094689720304</v>
      </c>
      <c r="I32" s="2">
        <f>_xlfn.T.DIST.RT(E32*H32,F32)</f>
        <v>0.9817526093400849</v>
      </c>
      <c r="J32">
        <f>1-I32</f>
        <v>1.8247390659915097E-2</v>
      </c>
      <c r="L32">
        <f>I32/C32</f>
        <v>9.8175260934008488</v>
      </c>
      <c r="M32">
        <f t="shared" si="43"/>
        <v>0.99200206422867365</v>
      </c>
      <c r="O32">
        <f>J32/D32</f>
        <v>2.0274878511016774E-2</v>
      </c>
      <c r="P32">
        <f t="shared" si="59"/>
        <v>-1.6930417394424835</v>
      </c>
      <c r="R32" s="4">
        <f>_xlfn.T.DIST.RT(E32*(G32-0.2),F32)</f>
        <v>0.334837709693382</v>
      </c>
      <c r="S32">
        <f>R32*M32</f>
        <v>0.33215969919743632</v>
      </c>
      <c r="T32">
        <f>(1-R32)*P32</f>
        <v>-1.1261475209922627</v>
      </c>
      <c r="U32" s="2">
        <f>_xlfn.T.DIST.RT(E32*(G32-0.4),F32)</f>
        <v>0.67502845495273522</v>
      </c>
      <c r="V32">
        <f>U32*M32</f>
        <v>0.66962962072620558</v>
      </c>
      <c r="W32">
        <f>(1-U32)*P32</f>
        <v>-0.55019038989613256</v>
      </c>
      <c r="X32" s="2">
        <f>_xlfn.T.DIST.RT(E32*(G32-0.8),F32)</f>
        <v>0.9817526093400849</v>
      </c>
      <c r="Y32">
        <f>X32*M32</f>
        <v>0.97390061502725089</v>
      </c>
      <c r="Z32">
        <f>(1-X32)*P32</f>
        <v>-3.0893594023149184E-2</v>
      </c>
      <c r="AB32">
        <f>C32*M32</f>
        <v>9.9200206422867365E-2</v>
      </c>
      <c r="AC32">
        <f>D32*P32</f>
        <v>-1.5237375654982352</v>
      </c>
      <c r="AD32">
        <f>(C32+0.01)*M32</f>
        <v>0.1091202270651541</v>
      </c>
      <c r="AE32">
        <f>(D32-0.01)*P32</f>
        <v>-1.5068071481038103</v>
      </c>
      <c r="AF32">
        <f>(C32+0.05)*M32</f>
        <v>0.14880030963430108</v>
      </c>
      <c r="AG32">
        <f>(D32-0.05)*P32</f>
        <v>-1.4390854785261109</v>
      </c>
      <c r="AH32">
        <f>(C32+0.1)*M32</f>
        <v>0.19840041284573473</v>
      </c>
      <c r="AI32">
        <f>(D32-0.1)*P32</f>
        <v>-1.3544333915539868</v>
      </c>
      <c r="AK32">
        <f t="shared" si="60"/>
        <v>-0.79398782179482641</v>
      </c>
      <c r="AL32">
        <f t="shared" si="61"/>
        <v>0.11943923083007302</v>
      </c>
      <c r="AM32">
        <f t="shared" si="62"/>
        <v>0.94300702100410172</v>
      </c>
      <c r="AN32">
        <f t="shared" si="63"/>
        <v>-1.4245373590753678</v>
      </c>
      <c r="AO32">
        <f t="shared" si="64"/>
        <v>-1.3976869210386562</v>
      </c>
      <c r="AP32">
        <f t="shared" si="65"/>
        <v>-1.2902851688918098</v>
      </c>
      <c r="AQ32">
        <f t="shared" si="13"/>
        <v>-1.1560329787082519</v>
      </c>
    </row>
    <row r="33" spans="1:43" x14ac:dyDescent="0.3">
      <c r="A33">
        <v>20</v>
      </c>
      <c r="B33">
        <v>0.8</v>
      </c>
      <c r="C33">
        <v>0.05</v>
      </c>
      <c r="D33">
        <f t="shared" si="58"/>
        <v>0.95</v>
      </c>
      <c r="E33">
        <f t="shared" si="39"/>
        <v>4.4721359549995796</v>
      </c>
      <c r="F33">
        <f t="shared" si="40"/>
        <v>19</v>
      </c>
      <c r="G33">
        <f t="shared" si="41"/>
        <v>0.38664585086871139</v>
      </c>
      <c r="H33">
        <f t="shared" si="42"/>
        <v>-0.41335414913128865</v>
      </c>
      <c r="I33" s="2">
        <f>_xlfn.T.DIST.RT(E33*H33,F33)</f>
        <v>0.95992819402088403</v>
      </c>
      <c r="J33">
        <f>1-I33</f>
        <v>4.0071805979115971E-2</v>
      </c>
      <c r="L33">
        <f>I33/C33</f>
        <v>19.19856388041768</v>
      </c>
      <c r="M33">
        <f t="shared" si="43"/>
        <v>1.2832687431755914</v>
      </c>
      <c r="O33">
        <f>J33/D33</f>
        <v>4.2180848399069444E-2</v>
      </c>
      <c r="P33">
        <f t="shared" si="59"/>
        <v>-1.3748846893824771</v>
      </c>
      <c r="R33" s="4">
        <f>_xlfn.T.DIST.RT(E33*(G33-0.2),F33)</f>
        <v>0.20712803212771269</v>
      </c>
      <c r="S33">
        <f>R33*M33</f>
        <v>0.26580092946496336</v>
      </c>
      <c r="T33">
        <f>(1-R33)*P33</f>
        <v>-1.090107529268163</v>
      </c>
      <c r="U33" s="2">
        <f>_xlfn.T.DIST.RT(E33*(G33-0.4),F33)</f>
        <v>0.52349945800805131</v>
      </c>
      <c r="V33">
        <f>U33*M33</f>
        <v>0.67179049153109527</v>
      </c>
      <c r="W33">
        <f>(1-U33)*P33</f>
        <v>-0.65513329966718237</v>
      </c>
      <c r="X33" s="2">
        <f>_xlfn.T.DIST.RT(E33*(G33-0.8),F33)</f>
        <v>0.95992819402088403</v>
      </c>
      <c r="Y33">
        <f>X33*M33</f>
        <v>1.2318458470799951</v>
      </c>
      <c r="Z33">
        <f>(1-X33)*P33</f>
        <v>-5.5094112516591749E-2</v>
      </c>
      <c r="AB33">
        <f>C33*M33</f>
        <v>6.4163437158779577E-2</v>
      </c>
      <c r="AC33">
        <f>D33*P33</f>
        <v>-1.3061404549133533</v>
      </c>
      <c r="AD33">
        <f>(C33+0.01)*M33</f>
        <v>7.6996124590535495E-2</v>
      </c>
      <c r="AE33">
        <f>(D33-0.01)*P33</f>
        <v>-1.2923916080195283</v>
      </c>
      <c r="AF33">
        <f>(C33+0.05)*M33</f>
        <v>0.12832687431755915</v>
      </c>
      <c r="AG33">
        <f>(D33-0.05)*P33</f>
        <v>-1.2373962204442293</v>
      </c>
      <c r="AH33">
        <f>(C33+0.1)*M33</f>
        <v>0.19249031147633874</v>
      </c>
      <c r="AI33">
        <f>(D33-0.1)*P33</f>
        <v>-1.1686519859751054</v>
      </c>
      <c r="AK33">
        <f t="shared" si="60"/>
        <v>-0.82430659980319965</v>
      </c>
      <c r="AL33">
        <f t="shared" si="61"/>
        <v>1.6657191863912901E-2</v>
      </c>
      <c r="AM33">
        <f t="shared" si="62"/>
        <v>1.1767517345634033</v>
      </c>
      <c r="AN33">
        <f t="shared" si="63"/>
        <v>-1.2419770177545737</v>
      </c>
      <c r="AO33">
        <f t="shared" si="64"/>
        <v>-1.2153954834289928</v>
      </c>
      <c r="AP33">
        <f t="shared" si="65"/>
        <v>-1.1090693461266701</v>
      </c>
      <c r="AQ33">
        <f t="shared" si="13"/>
        <v>-0.97616167449876667</v>
      </c>
    </row>
    <row r="34" spans="1:43" x14ac:dyDescent="0.3">
      <c r="A34">
        <v>20</v>
      </c>
      <c r="B34">
        <v>0.8</v>
      </c>
      <c r="C34">
        <v>0.02</v>
      </c>
      <c r="D34">
        <f t="shared" si="58"/>
        <v>0.98</v>
      </c>
      <c r="E34">
        <f t="shared" si="39"/>
        <v>4.4721359549995796</v>
      </c>
      <c r="F34">
        <f t="shared" si="40"/>
        <v>19</v>
      </c>
      <c r="G34">
        <f t="shared" si="41"/>
        <v>0.49298620903438412</v>
      </c>
      <c r="H34">
        <f t="shared" si="42"/>
        <v>-0.30701379096561593</v>
      </c>
      <c r="I34" s="2">
        <f>_xlfn.T.DIST.RT(E34*H34,F34)</f>
        <v>0.90713066835995304</v>
      </c>
      <c r="J34">
        <f>1-I34</f>
        <v>9.2869331640046959E-2</v>
      </c>
      <c r="L34">
        <f>I34/C34</f>
        <v>45.356533417997653</v>
      </c>
      <c r="M34">
        <f t="shared" si="43"/>
        <v>1.6566398541968812</v>
      </c>
      <c r="O34">
        <f>J34/D34</f>
        <v>9.4764624122496893E-2</v>
      </c>
      <c r="P34">
        <f t="shared" si="59"/>
        <v>-1.0233537556541421</v>
      </c>
      <c r="R34" s="4">
        <f>_xlfn.T.DIST.RT(E34*(G34-0.2),F34)</f>
        <v>0.10286152054408156</v>
      </c>
      <c r="S34">
        <f>R34*M34</f>
        <v>0.17040449439661676</v>
      </c>
      <c r="T34">
        <f>(1-R34)*P34</f>
        <v>-0.91809003229306052</v>
      </c>
      <c r="U34" s="2">
        <f>_xlfn.T.DIST.RT(E34*(G34-0.4),F34)</f>
        <v>0.34109059331311098</v>
      </c>
      <c r="V34">
        <f>U34*M34</f>
        <v>0.56506427077415988</v>
      </c>
      <c r="W34">
        <f>(1-U34)*P34</f>
        <v>-0.67429741596887038</v>
      </c>
      <c r="X34" s="2">
        <f>_xlfn.T.DIST.RT(E34*(G34-0.8),F34)</f>
        <v>0.90713066835995304</v>
      </c>
      <c r="Y34">
        <f>X34*M34</f>
        <v>1.5027888181693521</v>
      </c>
      <c r="Z34">
        <f>(1-X34)*P34</f>
        <v>-9.5038179318932103E-2</v>
      </c>
      <c r="AB34">
        <f>C34*M34</f>
        <v>3.3132797083937626E-2</v>
      </c>
      <c r="AC34">
        <f>D34*P34</f>
        <v>-1.0028866805410592</v>
      </c>
      <c r="AD34">
        <f>(C34+0.01)*M34</f>
        <v>4.9699195625906432E-2</v>
      </c>
      <c r="AE34">
        <f>(D34-0.01)*P34</f>
        <v>-0.99265314298451779</v>
      </c>
      <c r="AF34">
        <f>(C34+0.05)*M34</f>
        <v>0.11596478979378169</v>
      </c>
      <c r="AG34">
        <f>(D34-0.05)*P34</f>
        <v>-0.95171899275835214</v>
      </c>
      <c r="AH34">
        <f>(C34+0.1)*M34</f>
        <v>0.19879678250362576</v>
      </c>
      <c r="AI34">
        <f>(D34-0.1)*P34</f>
        <v>-0.90055130497564506</v>
      </c>
      <c r="AK34">
        <f t="shared" si="60"/>
        <v>-0.74768553789644376</v>
      </c>
      <c r="AL34">
        <f t="shared" si="61"/>
        <v>-0.1092331451947105</v>
      </c>
      <c r="AM34">
        <f t="shared" si="62"/>
        <v>1.40775063885042</v>
      </c>
      <c r="AN34">
        <f t="shared" si="63"/>
        <v>-0.96975388345712155</v>
      </c>
      <c r="AO34">
        <f t="shared" si="64"/>
        <v>-0.94295394735861138</v>
      </c>
      <c r="AP34">
        <f t="shared" si="65"/>
        <v>-0.83575420296457048</v>
      </c>
      <c r="AQ34">
        <f t="shared" si="13"/>
        <v>-0.7017545224720193</v>
      </c>
    </row>
    <row r="35" spans="1:43" x14ac:dyDescent="0.3">
      <c r="A35">
        <v>20</v>
      </c>
      <c r="B35">
        <v>0.8</v>
      </c>
      <c r="C35">
        <v>0.01</v>
      </c>
      <c r="D35">
        <f t="shared" si="58"/>
        <v>0.99</v>
      </c>
      <c r="E35">
        <f t="shared" si="39"/>
        <v>4.4721359549995796</v>
      </c>
      <c r="F35">
        <f t="shared" si="40"/>
        <v>19</v>
      </c>
      <c r="G35">
        <f t="shared" si="41"/>
        <v>0.56784570419532332</v>
      </c>
      <c r="H35">
        <f t="shared" si="42"/>
        <v>-0.23215429580467672</v>
      </c>
      <c r="I35" s="2">
        <f>_xlfn.T.DIST.RT(E35*H35,F35)</f>
        <v>0.84390094746076549</v>
      </c>
      <c r="J35">
        <f>1-I35</f>
        <v>0.15609905253923451</v>
      </c>
      <c r="L35">
        <f>I35/C35</f>
        <v>84.390094746076542</v>
      </c>
      <c r="M35">
        <f t="shared" si="43"/>
        <v>1.9262914744743305</v>
      </c>
      <c r="O35">
        <f>J35/D35</f>
        <v>0.15767581064569142</v>
      </c>
      <c r="P35">
        <f t="shared" si="59"/>
        <v>-0.80223492752636261</v>
      </c>
      <c r="R35" s="4">
        <f>_xlfn.T.DIST.RT(E35*(G35-0.2),F35)</f>
        <v>5.8200730357768474E-2</v>
      </c>
      <c r="S35">
        <f>R35*M35</f>
        <v>0.11211157069634876</v>
      </c>
      <c r="T35">
        <f>(1-R35)*P35</f>
        <v>-0.75554426882581682</v>
      </c>
      <c r="U35" s="2">
        <f>_xlfn.T.DIST.RT(E35*(G35-0.4),F35)</f>
        <v>0.23103587478927806</v>
      </c>
      <c r="V35">
        <f>U35*M35</f>
        <v>0.44504243590430526</v>
      </c>
      <c r="W35">
        <f>(1-U35)*P35</f>
        <v>-0.61688987925879635</v>
      </c>
      <c r="X35" s="2">
        <f>_xlfn.T.DIST.RT(E35*(G35-0.8),F35)</f>
        <v>0.84390094746076549</v>
      </c>
      <c r="Y35">
        <f>X35*M35</f>
        <v>1.6255992003944824</v>
      </c>
      <c r="Z35">
        <f>(1-X35)*P35</f>
        <v>-0.12522811210074666</v>
      </c>
      <c r="AB35">
        <f>C35*M35</f>
        <v>1.9262914744743304E-2</v>
      </c>
      <c r="AC35">
        <f>D35*P35</f>
        <v>-0.79421257825109892</v>
      </c>
      <c r="AD35">
        <f>(C35+0.01)*M35</f>
        <v>3.8525829489486609E-2</v>
      </c>
      <c r="AE35">
        <f>(D35-0.01)*P35</f>
        <v>-0.78619022897583535</v>
      </c>
      <c r="AF35">
        <f>(C35+0.05)*M35</f>
        <v>0.11557748846845983</v>
      </c>
      <c r="AG35">
        <f>(D35-0.05)*P35</f>
        <v>-0.75410083187478083</v>
      </c>
      <c r="AH35">
        <f>(C35+0.1)*M35</f>
        <v>0.21189206219217635</v>
      </c>
      <c r="AI35">
        <f>(D35-0.1)*P35</f>
        <v>-0.71398908549846274</v>
      </c>
      <c r="AK35">
        <f t="shared" si="60"/>
        <v>-0.64343269812946802</v>
      </c>
      <c r="AL35">
        <f t="shared" si="61"/>
        <v>-0.17184744335449109</v>
      </c>
      <c r="AM35">
        <f t="shared" si="62"/>
        <v>1.5003710882937358</v>
      </c>
      <c r="AN35">
        <f t="shared" si="63"/>
        <v>-0.77494966350635563</v>
      </c>
      <c r="AO35">
        <f t="shared" si="64"/>
        <v>-0.74766439948634877</v>
      </c>
      <c r="AP35">
        <f t="shared" si="65"/>
        <v>-0.638523343406321</v>
      </c>
      <c r="AQ35">
        <f t="shared" si="13"/>
        <v>-0.50209702330628636</v>
      </c>
    </row>
    <row r="36" spans="1:43" x14ac:dyDescent="0.3">
      <c r="A36">
        <v>20</v>
      </c>
      <c r="B36">
        <v>0.8</v>
      </c>
      <c r="C36">
        <v>6.7208909999999997E-3</v>
      </c>
      <c r="D36">
        <f t="shared" si="58"/>
        <v>0.99327910900000005</v>
      </c>
      <c r="E36">
        <v>4.4721359549999997</v>
      </c>
      <c r="F36">
        <v>19</v>
      </c>
      <c r="G36">
        <v>0.60934080499999999</v>
      </c>
      <c r="H36">
        <v>-0.190659195</v>
      </c>
      <c r="I36">
        <v>0.79776403699999998</v>
      </c>
      <c r="J36">
        <f>1-I36</f>
        <v>0.20223596300000002</v>
      </c>
      <c r="L36">
        <f>I36/C36</f>
        <v>118.69914822305554</v>
      </c>
      <c r="M36">
        <f t="shared" ref="M36:M37" si="66">LOG10(L36)</f>
        <v>2.0744476024983651</v>
      </c>
      <c r="O36">
        <f>J36/D36</f>
        <v>0.20360436574932536</v>
      </c>
      <c r="P36">
        <f t="shared" si="59"/>
        <v>-0.69121291395554563</v>
      </c>
      <c r="R36" s="4">
        <f>_xlfn.T.DIST.RT(E36*(G36-0.2),F36)</f>
        <v>4.1443839320297916E-2</v>
      </c>
      <c r="S36">
        <f>R36*M36</f>
        <v>8.5973073116319493E-2</v>
      </c>
      <c r="T36">
        <f>(1-R36)*P36</f>
        <v>-0.6625663970134571</v>
      </c>
      <c r="U36" s="2">
        <f>_xlfn.T.DIST.RT(E36*(G36-0.4),F36)</f>
        <v>0.18045898992167575</v>
      </c>
      <c r="V36">
        <f>U36*M36</f>
        <v>0.37435271899229688</v>
      </c>
      <c r="W36">
        <f>(1-U36)*P36</f>
        <v>-0.56647732968230968</v>
      </c>
      <c r="X36" s="2">
        <f>_xlfn.T.DIST.RT(E36*(G36-0.8),F36)</f>
        <v>0.79776403761449077</v>
      </c>
      <c r="Y36">
        <f>X36*M36</f>
        <v>1.6549196951887959</v>
      </c>
      <c r="Z36">
        <f>(1-X36)*P36</f>
        <v>-0.13978810886709195</v>
      </c>
      <c r="AB36">
        <f>C36*M36</f>
        <v>1.3942136221602839E-2</v>
      </c>
      <c r="AC36">
        <f>D36*P36</f>
        <v>-0.68656734730305802</v>
      </c>
      <c r="AD36">
        <f>(C36+0.01)*M36</f>
        <v>3.4686612246586493E-2</v>
      </c>
      <c r="AE36">
        <f>(D36-0.01)*P36</f>
        <v>-0.67965521816350261</v>
      </c>
      <c r="AF36">
        <f>(C36+0.05)*M36</f>
        <v>0.1176645163465211</v>
      </c>
      <c r="AG36">
        <f>(D36-0.05)*P36</f>
        <v>-0.65200670160528074</v>
      </c>
      <c r="AH36">
        <f>(C36+0.1)*M36</f>
        <v>0.22138689647143939</v>
      </c>
      <c r="AI36">
        <f>(D36-0.1)*P36</f>
        <v>-0.61744605590750357</v>
      </c>
      <c r="AK36">
        <f t="shared" si="60"/>
        <v>-0.57659332389713758</v>
      </c>
      <c r="AL36">
        <f t="shared" si="61"/>
        <v>-0.1921246106900128</v>
      </c>
      <c r="AM36">
        <f t="shared" si="62"/>
        <v>1.5151315863217039</v>
      </c>
      <c r="AN36">
        <f t="shared" si="63"/>
        <v>-0.67262521108145523</v>
      </c>
      <c r="AO36">
        <f t="shared" si="64"/>
        <v>-0.64496860591691607</v>
      </c>
      <c r="AP36">
        <f t="shared" si="65"/>
        <v>-0.53434218525875965</v>
      </c>
      <c r="AQ36">
        <f t="shared" si="13"/>
        <v>-0.39605915943606418</v>
      </c>
    </row>
    <row r="37" spans="1:43" x14ac:dyDescent="0.3">
      <c r="A37">
        <v>20</v>
      </c>
      <c r="B37">
        <v>0.8</v>
      </c>
      <c r="C37">
        <v>5.0000000000000001E-3</v>
      </c>
      <c r="D37">
        <f t="shared" ref="D37" si="67">1-C37</f>
        <v>0.995</v>
      </c>
      <c r="E37">
        <f t="shared" ref="E37" si="68">SQRT(A37)</f>
        <v>4.4721359549995796</v>
      </c>
      <c r="F37">
        <f t="shared" ref="F37" si="69">A37-1</f>
        <v>19</v>
      </c>
      <c r="G37">
        <f t="shared" ref="G37" si="70">-_xlfn.T.INV(C37,F37)/E37</f>
        <v>0.63972442592373036</v>
      </c>
      <c r="H37">
        <f t="shared" ref="H37" si="71">G37-B37</f>
        <v>-0.16027557407626969</v>
      </c>
      <c r="I37" s="2">
        <f>_xlfn.T.DIST.RT(E37*H37,F37)</f>
        <v>0.75888384566462863</v>
      </c>
      <c r="J37">
        <f>1-I37</f>
        <v>0.24111615433537137</v>
      </c>
      <c r="L37">
        <f>I37/C37</f>
        <v>151.77676913292572</v>
      </c>
      <c r="M37">
        <f t="shared" si="66"/>
        <v>2.1812053037765105</v>
      </c>
      <c r="O37">
        <f>J37/D37</f>
        <v>0.24232779330188078</v>
      </c>
      <c r="P37">
        <f t="shared" ref="P37" si="72">LOG10(O37)</f>
        <v>-0.61559677246829414</v>
      </c>
      <c r="R37" s="4">
        <f>_xlfn.T.DIST.RT(E37*(G37-0.2),F37)</f>
        <v>3.2010422961456411E-2</v>
      </c>
      <c r="S37">
        <f>R37*M37</f>
        <v>6.9821304339658122E-2</v>
      </c>
      <c r="T37">
        <f>(1-R37)*P37</f>
        <v>-0.59589125940787657</v>
      </c>
      <c r="U37" s="2">
        <f>_xlfn.T.DIST.RT(E37*(G37-0.4),F37)</f>
        <v>0.14855658350200587</v>
      </c>
      <c r="V37">
        <f>U37*M37</f>
        <v>0.32403240784549325</v>
      </c>
      <c r="W37">
        <f>(1-U37)*P37</f>
        <v>-0.5241458191355427</v>
      </c>
      <c r="X37" s="2">
        <f>_xlfn.T.DIST.RT(E37*(G37-0.8),F37)</f>
        <v>0.75888384566462863</v>
      </c>
      <c r="Y37">
        <f>X37*M37</f>
        <v>1.6552814691140028</v>
      </c>
      <c r="Z37">
        <f>(1-X37)*P37</f>
        <v>-0.1484303263988217</v>
      </c>
      <c r="AB37">
        <f>C37*M37</f>
        <v>1.0906026518882552E-2</v>
      </c>
      <c r="AC37">
        <f>D37*P37</f>
        <v>-0.61251878860595266</v>
      </c>
      <c r="AD37">
        <f>(C37+0.01)*M37</f>
        <v>3.2718079556647656E-2</v>
      </c>
      <c r="AE37">
        <f>(D37-0.01)*P37</f>
        <v>-0.60636282088126969</v>
      </c>
      <c r="AF37">
        <f>(C37+0.05)*M37</f>
        <v>0.11996629170770808</v>
      </c>
      <c r="AG37">
        <f>(D37-0.05)*P37</f>
        <v>-0.58173894998253795</v>
      </c>
      <c r="AH37">
        <f>(C37+0.1)*M37</f>
        <v>0.22902655689653362</v>
      </c>
      <c r="AI37">
        <f>(D37-0.1)*P37</f>
        <v>-0.55095911135912323</v>
      </c>
      <c r="AK37">
        <f t="shared" ref="AK37" si="73">S37+T37</f>
        <v>-0.52606995506821841</v>
      </c>
      <c r="AL37">
        <f t="shared" ref="AL37" si="74">V37+W37</f>
        <v>-0.20011341129004945</v>
      </c>
      <c r="AM37">
        <f t="shared" ref="AM37" si="75">Y37+Z37</f>
        <v>1.5068511427151812</v>
      </c>
      <c r="AN37">
        <f t="shared" ref="AN37" si="76">AB37+AC37</f>
        <v>-0.60161276208707015</v>
      </c>
      <c r="AO37">
        <f t="shared" ref="AO37" si="77">AD37+AE37</f>
        <v>-0.57364474132462207</v>
      </c>
      <c r="AP37">
        <f t="shared" ref="AP37" si="78">AF37+AG37</f>
        <v>-0.46177265827482988</v>
      </c>
      <c r="AQ37">
        <f t="shared" ref="AQ37" si="79">AH37+AI37</f>
        <v>-0.32193255446258962</v>
      </c>
    </row>
    <row r="38" spans="1:43" x14ac:dyDescent="0.3">
      <c r="A38">
        <v>20</v>
      </c>
      <c r="B38">
        <v>0.8</v>
      </c>
      <c r="C38">
        <v>2E-3</v>
      </c>
      <c r="D38">
        <f t="shared" si="58"/>
        <v>0.998</v>
      </c>
      <c r="E38">
        <f t="shared" ref="E38:E52" si="80">SQRT(A38)</f>
        <v>4.4721359549995796</v>
      </c>
      <c r="F38">
        <f t="shared" ref="F38:F52" si="81">A38-1</f>
        <v>19</v>
      </c>
      <c r="G38">
        <f t="shared" ref="G38:G52" si="82">-_xlfn.T.INV(C38,F38)/E38</f>
        <v>0.73189803301944156</v>
      </c>
      <c r="H38">
        <f t="shared" ref="H38:H52" si="83">G38-B38</f>
        <v>-6.8101966980558482E-2</v>
      </c>
      <c r="I38" s="2">
        <f>_xlfn.T.DIST.RT(E38*H38,F38)</f>
        <v>0.6179944443490677</v>
      </c>
      <c r="J38">
        <f>1-I38</f>
        <v>0.3820055556509323</v>
      </c>
      <c r="L38">
        <f>I38/C38</f>
        <v>308.99722217453382</v>
      </c>
      <c r="M38">
        <f t="shared" ref="M38:M52" si="84">LOG10(L38)</f>
        <v>2.4899545752187042</v>
      </c>
      <c r="O38">
        <f>J38/D38</f>
        <v>0.38277109784662555</v>
      </c>
      <c r="P38">
        <f t="shared" si="59"/>
        <v>-0.41706086222121697</v>
      </c>
      <c r="R38" s="4">
        <f>_xlfn.T.DIST.RT(E38*(G38-0.2),F38)</f>
        <v>1.4008104340499174E-2</v>
      </c>
      <c r="S38">
        <f>R38*M38</f>
        <v>3.487954349276691E-2</v>
      </c>
      <c r="T38">
        <f>(1-R38)*P38</f>
        <v>-0.41121863014688365</v>
      </c>
      <c r="U38" s="2">
        <f>_xlfn.T.DIST.RT(E38*(G38-0.4),F38)</f>
        <v>7.7066216578132757E-2</v>
      </c>
      <c r="V38">
        <f>U38*M38</f>
        <v>0.19189137856351721</v>
      </c>
      <c r="W38">
        <f>(1-U38)*P38</f>
        <v>-0.3849195594870139</v>
      </c>
      <c r="X38" s="2">
        <f>_xlfn.T.DIST.RT(E38*(G38-0.8),F38)</f>
        <v>0.6179944443490677</v>
      </c>
      <c r="Y38">
        <f>X38*M38</f>
        <v>1.538778094166702</v>
      </c>
      <c r="Z38">
        <f>(1-X38)*P38</f>
        <v>-0.15931956641307291</v>
      </c>
      <c r="AB38">
        <f>C38*M38</f>
        <v>4.9799091504374084E-3</v>
      </c>
      <c r="AC38">
        <f>D38*P38</f>
        <v>-0.41622674049677455</v>
      </c>
      <c r="AD38">
        <f>(C38+0.01)*M38</f>
        <v>2.9879454902624451E-2</v>
      </c>
      <c r="AE38">
        <f>(D38-0.01)*P38</f>
        <v>-0.41205613187456236</v>
      </c>
      <c r="AF38">
        <f>(C38+0.05)*M38</f>
        <v>0.12947763791137262</v>
      </c>
      <c r="AG38">
        <f>(D38-0.05)*P38</f>
        <v>-0.39537369738571365</v>
      </c>
      <c r="AH38">
        <f>(C38+0.1)*M38</f>
        <v>0.25397536667230786</v>
      </c>
      <c r="AI38">
        <f>(D38-0.1)*P38</f>
        <v>-0.37452065427465286</v>
      </c>
      <c r="AK38">
        <f t="shared" si="60"/>
        <v>-0.37633908665411675</v>
      </c>
      <c r="AL38">
        <f t="shared" si="61"/>
        <v>-0.19302818092349669</v>
      </c>
      <c r="AM38">
        <f t="shared" si="62"/>
        <v>1.3794585277536291</v>
      </c>
      <c r="AN38">
        <f t="shared" si="63"/>
        <v>-0.41124683134633716</v>
      </c>
      <c r="AO38">
        <f t="shared" si="64"/>
        <v>-0.38217667697193791</v>
      </c>
      <c r="AP38">
        <f t="shared" si="65"/>
        <v>-0.26589605947434103</v>
      </c>
      <c r="AQ38">
        <f t="shared" si="13"/>
        <v>-0.12054528760234501</v>
      </c>
    </row>
    <row r="39" spans="1:43" x14ac:dyDescent="0.3">
      <c r="A39">
        <v>20</v>
      </c>
      <c r="B39">
        <v>0.8</v>
      </c>
      <c r="C39">
        <v>1E-3</v>
      </c>
      <c r="D39">
        <f t="shared" si="58"/>
        <v>0.999</v>
      </c>
      <c r="E39">
        <f t="shared" si="80"/>
        <v>4.4721359549995796</v>
      </c>
      <c r="F39">
        <f t="shared" si="81"/>
        <v>19</v>
      </c>
      <c r="G39">
        <f t="shared" si="82"/>
        <v>0.80037820517356184</v>
      </c>
      <c r="H39">
        <f t="shared" si="83"/>
        <v>3.7820517356179639E-4</v>
      </c>
      <c r="I39" s="2">
        <f>_xlfn.T.DIST.RT(E39*H39,F39)</f>
        <v>0.49933405166182354</v>
      </c>
      <c r="J39">
        <f>1-I39</f>
        <v>0.50066594833817646</v>
      </c>
      <c r="L39">
        <f>I39/C39</f>
        <v>499.33405166182354</v>
      </c>
      <c r="M39">
        <f t="shared" si="84"/>
        <v>2.698391183408555</v>
      </c>
      <c r="O39">
        <f>J39/D39</f>
        <v>0.50116711545363013</v>
      </c>
      <c r="P39">
        <f t="shared" si="59"/>
        <v>-0.30001743337933923</v>
      </c>
      <c r="R39" s="4">
        <f>_xlfn.T.DIST.RT(E39*(G39-0.2),F39)</f>
        <v>7.3282106104666268E-3</v>
      </c>
      <c r="S39">
        <f>R39*M39</f>
        <v>1.9774378901444171E-2</v>
      </c>
      <c r="T39">
        <f>(1-R39)*P39</f>
        <v>-0.29781884244072376</v>
      </c>
      <c r="U39" s="2">
        <f>_xlfn.T.DIST.RT(E39*(G39-0.4),F39)</f>
        <v>4.4657025977976016E-2</v>
      </c>
      <c r="V39">
        <f>U39*M39</f>
        <v>0.12050212517621728</v>
      </c>
      <c r="W39">
        <f>(1-U39)*P39</f>
        <v>-0.28661954706307236</v>
      </c>
      <c r="X39" s="2">
        <f>_xlfn.T.DIST.RT(E39*(G39-0.8),F39)</f>
        <v>0.49933405166182354</v>
      </c>
      <c r="Y39">
        <f>X39*M39</f>
        <v>1.3473986025799365</v>
      </c>
      <c r="Z39">
        <f>(1-X39)*P39</f>
        <v>-0.15020851280085254</v>
      </c>
      <c r="AB39">
        <f>C39*M39</f>
        <v>2.6983911834085549E-3</v>
      </c>
      <c r="AC39">
        <f>D39*P39</f>
        <v>-0.29971741594595991</v>
      </c>
      <c r="AD39">
        <f>(C39+0.01)*M39</f>
        <v>2.9682303017494104E-2</v>
      </c>
      <c r="AE39">
        <f>(D39-0.01)*P39</f>
        <v>-0.2967172416121665</v>
      </c>
      <c r="AF39">
        <f>(C39+0.05)*M39</f>
        <v>0.13761795035383631</v>
      </c>
      <c r="AG39">
        <f>(D39-0.05)*P39</f>
        <v>-0.28471654427699289</v>
      </c>
      <c r="AH39">
        <f>(C39+0.1)*M39</f>
        <v>0.27253750952426409</v>
      </c>
      <c r="AI39">
        <f>(D39-0.1)*P39</f>
        <v>-0.26971567260802598</v>
      </c>
      <c r="AK39">
        <f t="shared" si="60"/>
        <v>-0.27804446353927958</v>
      </c>
      <c r="AL39">
        <f t="shared" si="61"/>
        <v>-0.16611742188685508</v>
      </c>
      <c r="AM39">
        <f t="shared" si="62"/>
        <v>1.1971900897790839</v>
      </c>
      <c r="AN39">
        <f t="shared" si="63"/>
        <v>-0.29701902476255138</v>
      </c>
      <c r="AO39">
        <f t="shared" si="64"/>
        <v>-0.26703493859467242</v>
      </c>
      <c r="AP39">
        <f t="shared" si="65"/>
        <v>-0.14709859392315658</v>
      </c>
      <c r="AQ39">
        <f t="shared" si="13"/>
        <v>2.8218369162381074E-3</v>
      </c>
    </row>
    <row r="40" spans="1:43" x14ac:dyDescent="0.3">
      <c r="A40">
        <v>20</v>
      </c>
      <c r="B40">
        <v>0.8</v>
      </c>
      <c r="C40">
        <v>1E-4</v>
      </c>
      <c r="D40">
        <f t="shared" si="58"/>
        <v>0.99990000000000001</v>
      </c>
      <c r="E40">
        <f t="shared" si="80"/>
        <v>4.4721359549995796</v>
      </c>
      <c r="F40">
        <f t="shared" si="81"/>
        <v>19</v>
      </c>
      <c r="G40">
        <f t="shared" si="82"/>
        <v>1.0263249245863912</v>
      </c>
      <c r="H40">
        <f t="shared" si="83"/>
        <v>0.2263249245863912</v>
      </c>
      <c r="I40" s="2">
        <f>_xlfn.T.DIST.RT(E40*H40,F40)</f>
        <v>0.16209018693693844</v>
      </c>
      <c r="J40">
        <f>1-I40</f>
        <v>0.83790981306306156</v>
      </c>
      <c r="L40">
        <f>I40/C40</f>
        <v>1620.9018693693843</v>
      </c>
      <c r="M40">
        <f t="shared" si="84"/>
        <v>3.2097567231264872</v>
      </c>
      <c r="O40">
        <f>J40/D40</f>
        <v>0.83799361242430404</v>
      </c>
      <c r="P40">
        <f t="shared" si="59"/>
        <v>-7.6759291750928937E-2</v>
      </c>
      <c r="R40" s="4">
        <f>_xlfn.T.DIST.RT(E40*(G40-0.2),F40)</f>
        <v>7.6781604023424958E-4</v>
      </c>
      <c r="S40">
        <f>R40*M40</f>
        <v>2.4645026972662399E-3</v>
      </c>
      <c r="T40">
        <f>(1-R40)*P40</f>
        <v>-7.670035473548556E-2</v>
      </c>
      <c r="U40" s="2">
        <f>_xlfn.T.DIST.RT(E40*(G40-0.4),F40)</f>
        <v>5.6992777865979135E-3</v>
      </c>
      <c r="V40">
        <f>U40*M40</f>
        <v>1.8293295192498098E-2</v>
      </c>
      <c r="W40">
        <f>(1-U40)*P40</f>
        <v>-7.6321819224537873E-2</v>
      </c>
      <c r="X40" s="2">
        <f>_xlfn.T.DIST.RT(E40*(G40-0.8),F40)</f>
        <v>0.16209018693693844</v>
      </c>
      <c r="Y40">
        <f>X40*M40</f>
        <v>0.52027006727366731</v>
      </c>
      <c r="Z40">
        <f>(1-X40)*P40</f>
        <v>-6.4317363801873875E-2</v>
      </c>
      <c r="AB40">
        <f>C40*M40</f>
        <v>3.2097567231264873E-4</v>
      </c>
      <c r="AC40">
        <f>D40*P40</f>
        <v>-7.6751615821753841E-2</v>
      </c>
      <c r="AD40">
        <f>(C40+0.01)*M40</f>
        <v>3.241854290357752E-2</v>
      </c>
      <c r="AE40">
        <f>(D40-0.01)*P40</f>
        <v>-7.5984022904244553E-2</v>
      </c>
      <c r="AF40">
        <f>(C40+0.05)*M40</f>
        <v>0.16080881182863702</v>
      </c>
      <c r="AG40">
        <f>(D40-0.05)*P40</f>
        <v>-7.2913651234207399E-2</v>
      </c>
      <c r="AH40">
        <f>(C40+0.1)*M40</f>
        <v>0.32129664798496138</v>
      </c>
      <c r="AI40">
        <f>(D40-0.1)*P40</f>
        <v>-6.9075686646660958E-2</v>
      </c>
      <c r="AK40">
        <f t="shared" si="60"/>
        <v>-7.4235852038219322E-2</v>
      </c>
      <c r="AL40">
        <f t="shared" si="61"/>
        <v>-5.8028524032039772E-2</v>
      </c>
      <c r="AM40">
        <f t="shared" si="62"/>
        <v>0.45595270347179345</v>
      </c>
      <c r="AN40">
        <f t="shared" si="63"/>
        <v>-7.643064014944119E-2</v>
      </c>
      <c r="AO40">
        <f t="shared" si="64"/>
        <v>-4.3565480000667033E-2</v>
      </c>
      <c r="AP40">
        <f t="shared" si="65"/>
        <v>8.7895160594429617E-2</v>
      </c>
      <c r="AQ40">
        <f t="shared" si="13"/>
        <v>0.25222096133830041</v>
      </c>
    </row>
    <row r="41" spans="1:43" x14ac:dyDescent="0.3">
      <c r="A41">
        <v>20</v>
      </c>
      <c r="B41">
        <v>0.8</v>
      </c>
      <c r="C41">
        <v>1.0000000000000001E-5</v>
      </c>
      <c r="D41">
        <f t="shared" si="58"/>
        <v>0.99999000000000005</v>
      </c>
      <c r="E41">
        <f t="shared" si="80"/>
        <v>4.4721359549995796</v>
      </c>
      <c r="F41">
        <f t="shared" si="81"/>
        <v>19</v>
      </c>
      <c r="G41">
        <f t="shared" si="82"/>
        <v>1.2581831789871367</v>
      </c>
      <c r="H41">
        <f t="shared" si="83"/>
        <v>0.45818317898713667</v>
      </c>
      <c r="I41" s="2">
        <f>_xlfn.T.DIST.RT(E41*H41,F41)</f>
        <v>2.7261523830425523E-2</v>
      </c>
      <c r="J41">
        <f>1-I41</f>
        <v>0.97273847616957443</v>
      </c>
      <c r="L41">
        <f>I41/C41</f>
        <v>2726.1523830425522</v>
      </c>
      <c r="M41">
        <f t="shared" si="84"/>
        <v>3.4355501278247309</v>
      </c>
      <c r="O41">
        <f>J41/D41</f>
        <v>0.97274820365161085</v>
      </c>
      <c r="P41">
        <f t="shared" si="59"/>
        <v>-1.1999562523616754E-2</v>
      </c>
      <c r="R41" s="4">
        <f>_xlfn.T.DIST.RT(E41*(G41-0.2),F41)</f>
        <v>7.2476574112443148E-5</v>
      </c>
      <c r="S41">
        <f>R41*M41</f>
        <v>2.4899690345630263E-4</v>
      </c>
      <c r="T41">
        <f>(1-R41)*P41</f>
        <v>-1.1998692836434195E-2</v>
      </c>
      <c r="U41" s="2">
        <f>_xlfn.T.DIST.RT(E41*(G41-0.4),F41)</f>
        <v>5.5473720712405947E-4</v>
      </c>
      <c r="V41">
        <f>U41*M41</f>
        <v>1.9058274828441966E-3</v>
      </c>
      <c r="W41">
        <f>(1-U41)*P41</f>
        <v>-1.1992905919815692E-2</v>
      </c>
      <c r="X41" s="2">
        <f>_xlfn.T.DIST.RT(E41*(G41-0.8),F41)</f>
        <v>2.7261523830425523E-2</v>
      </c>
      <c r="Y41">
        <f>X41*M41</f>
        <v>9.3658331680315357E-2</v>
      </c>
      <c r="Z41">
        <f>(1-X41)*P41</f>
        <v>-1.1672436163924495E-2</v>
      </c>
      <c r="AB41">
        <f>C41*M41</f>
        <v>3.435550127824731E-5</v>
      </c>
      <c r="AC41">
        <f>D41*P41</f>
        <v>-1.1999442527991519E-2</v>
      </c>
      <c r="AD41">
        <f>(C41+0.01)*M41</f>
        <v>3.4389856779525559E-2</v>
      </c>
      <c r="AE41">
        <f>(D41-0.01)*P41</f>
        <v>-1.1879446902755351E-2</v>
      </c>
      <c r="AF41">
        <f>(C41+0.05)*M41</f>
        <v>0.17181186189251482</v>
      </c>
      <c r="AG41">
        <f>(D41-0.05)*P41</f>
        <v>-1.139946440181068E-2</v>
      </c>
      <c r="AH41">
        <f>(C41+0.1)*M41</f>
        <v>0.34358936828375136</v>
      </c>
      <c r="AI41">
        <f>(D41-0.1)*P41</f>
        <v>-1.0799486275629844E-2</v>
      </c>
      <c r="AK41">
        <f t="shared" si="60"/>
        <v>-1.1749695932977892E-2</v>
      </c>
      <c r="AL41">
        <f t="shared" si="61"/>
        <v>-1.0087078436971497E-2</v>
      </c>
      <c r="AM41">
        <f t="shared" si="62"/>
        <v>8.1985895516390864E-2</v>
      </c>
      <c r="AN41">
        <f t="shared" si="63"/>
        <v>-1.1965087026713271E-2</v>
      </c>
      <c r="AO41">
        <f t="shared" si="64"/>
        <v>2.2510409876770207E-2</v>
      </c>
      <c r="AP41">
        <f t="shared" si="65"/>
        <v>0.16041239749070413</v>
      </c>
      <c r="AQ41">
        <f t="shared" si="13"/>
        <v>0.33278988200812154</v>
      </c>
    </row>
    <row r="42" spans="1:43" x14ac:dyDescent="0.3">
      <c r="A42">
        <v>20</v>
      </c>
      <c r="B42">
        <v>0.8</v>
      </c>
      <c r="C42">
        <v>9.9999999999999995E-7</v>
      </c>
      <c r="D42">
        <f t="shared" si="58"/>
        <v>0.99999899999999997</v>
      </c>
      <c r="E42">
        <f t="shared" si="80"/>
        <v>4.4721359549995796</v>
      </c>
      <c r="F42">
        <f t="shared" si="81"/>
        <v>19</v>
      </c>
      <c r="G42">
        <f t="shared" si="82"/>
        <v>1.5033966654533022</v>
      </c>
      <c r="H42">
        <f t="shared" si="83"/>
        <v>0.70339666545330215</v>
      </c>
      <c r="I42" s="2">
        <f>_xlfn.T.DIST.RT(E42*H42,F42)</f>
        <v>2.6618146970880463E-3</v>
      </c>
      <c r="J42">
        <f>1-I42</f>
        <v>0.99733818530291196</v>
      </c>
      <c r="L42">
        <f>I42/C42</f>
        <v>2661.8146970880466</v>
      </c>
      <c r="M42">
        <f t="shared" si="84"/>
        <v>3.425177818669364</v>
      </c>
      <c r="O42">
        <f>J42/D42</f>
        <v>0.99733918264209465</v>
      </c>
      <c r="P42">
        <f t="shared" si="59"/>
        <v>-1.1571184198838225E-3</v>
      </c>
      <c r="R42" s="4">
        <f>_xlfn.T.DIST.RT(E42*(G42-0.2),F42)</f>
        <v>6.4665534083253949E-6</v>
      </c>
      <c r="S42">
        <f>R42*M42</f>
        <v>2.2149095297436918E-5</v>
      </c>
      <c r="T42">
        <f>(1-R42)*P42</f>
        <v>-1.1571109373157606E-3</v>
      </c>
      <c r="U42" s="2">
        <f>_xlfn.T.DIST.RT(E42*(G42-0.4),F42)</f>
        <v>4.6014712664891913E-5</v>
      </c>
      <c r="V42">
        <f>U42*M42</f>
        <v>1.5760857315223203E-4</v>
      </c>
      <c r="W42">
        <f>(1-U42)*P42</f>
        <v>-1.1570651754122124E-3</v>
      </c>
      <c r="X42" s="2">
        <f>_xlfn.T.DIST.RT(E42*(G42-0.8),F42)</f>
        <v>2.6618146970880463E-3</v>
      </c>
      <c r="Y42">
        <f>X42*M42</f>
        <v>9.1171886578740886E-3</v>
      </c>
      <c r="Z42">
        <f>(1-X42)*P42</f>
        <v>-1.1540383850675044E-3</v>
      </c>
      <c r="AB42">
        <f>C42*M42</f>
        <v>3.425177818669364E-6</v>
      </c>
      <c r="AC42">
        <f>D42*P42</f>
        <v>-1.1571172627654026E-3</v>
      </c>
      <c r="AD42">
        <f>(C42+0.01)*M42</f>
        <v>3.4255203364512307E-2</v>
      </c>
      <c r="AE42">
        <f>(D42-0.01)*P42</f>
        <v>-1.1455460785665644E-3</v>
      </c>
      <c r="AF42">
        <f>(C42+0.05)*M42</f>
        <v>0.17126231611128689</v>
      </c>
      <c r="AG42">
        <f>(D42-0.05)*P42</f>
        <v>-1.0992613417712114E-3</v>
      </c>
      <c r="AH42">
        <f>(C42+0.1)*M42</f>
        <v>0.34252120704475508</v>
      </c>
      <c r="AI42">
        <f>(D42-0.1)*P42</f>
        <v>-1.0414054207770205E-3</v>
      </c>
      <c r="AK42">
        <f t="shared" si="60"/>
        <v>-1.1349618420183236E-3</v>
      </c>
      <c r="AL42">
        <f t="shared" si="61"/>
        <v>-9.994566022599803E-4</v>
      </c>
      <c r="AM42">
        <f t="shared" si="62"/>
        <v>7.9631502728065851E-3</v>
      </c>
      <c r="AN42">
        <f t="shared" si="63"/>
        <v>-1.1536920849467332E-3</v>
      </c>
      <c r="AO42">
        <f t="shared" si="64"/>
        <v>3.310965728594574E-2</v>
      </c>
      <c r="AP42">
        <f t="shared" si="65"/>
        <v>0.17016305476951568</v>
      </c>
      <c r="AQ42">
        <f t="shared" si="13"/>
        <v>0.34147980162397806</v>
      </c>
    </row>
    <row r="43" spans="1:43" x14ac:dyDescent="0.3">
      <c r="A43">
        <v>20</v>
      </c>
      <c r="B43">
        <v>0.8</v>
      </c>
      <c r="C43">
        <v>9.9999999999999995E-8</v>
      </c>
      <c r="D43">
        <f t="shared" si="58"/>
        <v>0.99999990000000005</v>
      </c>
      <c r="E43">
        <f t="shared" si="80"/>
        <v>4.4721359549995796</v>
      </c>
      <c r="F43">
        <f t="shared" si="81"/>
        <v>19</v>
      </c>
      <c r="G43">
        <f t="shared" si="82"/>
        <v>1.767636921872052</v>
      </c>
      <c r="H43">
        <f t="shared" si="83"/>
        <v>0.96763692187205197</v>
      </c>
      <c r="I43" s="2">
        <f>_xlfn.T.DIST.RT(E43*H43,F43)</f>
        <v>1.8149895743907522E-4</v>
      </c>
      <c r="J43">
        <f>1-I43</f>
        <v>0.99981850104256087</v>
      </c>
      <c r="L43">
        <f>I43/C43</f>
        <v>1814.9895743907523</v>
      </c>
      <c r="M43">
        <f t="shared" si="84"/>
        <v>3.2588741347178223</v>
      </c>
      <c r="O43">
        <f>J43/D43</f>
        <v>0.99981860102442088</v>
      </c>
      <c r="P43">
        <f t="shared" si="59"/>
        <v>-7.8787720338857942E-5</v>
      </c>
      <c r="R43" s="4">
        <f>_xlfn.T.DIST.RT(E43*(G43-0.2),F43)</f>
        <v>5.6150880640744213E-7</v>
      </c>
      <c r="S43">
        <f>R43*M43</f>
        <v>1.8298865256174902E-6</v>
      </c>
      <c r="T43">
        <f>(1-R43)*P43</f>
        <v>-7.8787676098859125E-5</v>
      </c>
      <c r="U43" s="2">
        <f>_xlfn.T.DIST.RT(E43*(G43-0.4),F43)</f>
        <v>3.5107627677756226E-6</v>
      </c>
      <c r="V43">
        <f>U43*M43</f>
        <v>1.1441133977034329E-5</v>
      </c>
      <c r="W43">
        <f>(1-U43)*P43</f>
        <v>-7.8787443733862822E-5</v>
      </c>
      <c r="X43" s="2">
        <f>_xlfn.T.DIST.RT(E43*(G43-0.8),F43)</f>
        <v>1.8149895743907522E-4</v>
      </c>
      <c r="Y43">
        <f>X43*M43</f>
        <v>5.914822578764531E-4</v>
      </c>
      <c r="Z43">
        <f>(1-X43)*P43</f>
        <v>-7.8773420449757434E-5</v>
      </c>
      <c r="AB43">
        <f>C43*M43</f>
        <v>3.2588741347178221E-7</v>
      </c>
      <c r="AC43">
        <f>D43*P43</f>
        <v>-7.8787712460085912E-5</v>
      </c>
      <c r="AD43">
        <f>(C43+0.01)*M43</f>
        <v>3.2589067234591693E-2</v>
      </c>
      <c r="AE43">
        <f>(D43-0.01)*P43</f>
        <v>-7.7999835256697326E-5</v>
      </c>
      <c r="AF43">
        <f>(C43+0.05)*M43</f>
        <v>0.16294403262330459</v>
      </c>
      <c r="AG43">
        <f>(D43-0.05)*P43</f>
        <v>-7.484832644314301E-5</v>
      </c>
      <c r="AH43">
        <f>(C43+0.1)*M43</f>
        <v>0.32588773935919574</v>
      </c>
      <c r="AI43">
        <f>(D43-0.1)*P43</f>
        <v>-7.0908940426200122E-5</v>
      </c>
      <c r="AK43">
        <f t="shared" si="60"/>
        <v>-7.6957789573241629E-5</v>
      </c>
      <c r="AL43">
        <f t="shared" si="61"/>
        <v>-6.7346309756828493E-5</v>
      </c>
      <c r="AM43">
        <f t="shared" si="62"/>
        <v>5.1270883742669565E-4</v>
      </c>
      <c r="AN43">
        <f t="shared" si="63"/>
        <v>-7.8461825046614124E-5</v>
      </c>
      <c r="AO43">
        <f t="shared" si="64"/>
        <v>3.2511067399334993E-2</v>
      </c>
      <c r="AP43">
        <f t="shared" si="65"/>
        <v>0.16286918429686145</v>
      </c>
      <c r="AQ43">
        <f t="shared" si="13"/>
        <v>0.32581683041876952</v>
      </c>
    </row>
    <row r="44" spans="1:43" x14ac:dyDescent="0.3">
      <c r="A44">
        <v>40</v>
      </c>
      <c r="B44">
        <v>0.8</v>
      </c>
      <c r="C44">
        <v>0.5</v>
      </c>
      <c r="D44">
        <f t="shared" si="58"/>
        <v>0.5</v>
      </c>
      <c r="E44">
        <f t="shared" si="80"/>
        <v>6.324555320336759</v>
      </c>
      <c r="F44">
        <f t="shared" si="81"/>
        <v>39</v>
      </c>
      <c r="G44">
        <f t="shared" si="82"/>
        <v>0</v>
      </c>
      <c r="H44">
        <f t="shared" si="83"/>
        <v>-0.8</v>
      </c>
      <c r="I44" s="2">
        <f>_xlfn.T.DIST.RT(E44*H44,F44)</f>
        <v>0.99999481316287242</v>
      </c>
      <c r="J44">
        <f>1-I44</f>
        <v>5.1868371275798353E-6</v>
      </c>
      <c r="L44">
        <f>I44/C44</f>
        <v>1.9999896263257448</v>
      </c>
      <c r="M44">
        <f t="shared" si="84"/>
        <v>0.30102774304339619</v>
      </c>
      <c r="O44">
        <f>J44/D44</f>
        <v>1.0373674255159671E-5</v>
      </c>
      <c r="P44">
        <f t="shared" si="59"/>
        <v>-4.9840673934551951</v>
      </c>
      <c r="R44" s="4">
        <f>_xlfn.T.DIST.RT(E44*(G44-0.2),F44)</f>
        <v>0.89329525173043378</v>
      </c>
      <c r="S44">
        <f>R44*M44</f>
        <v>0.26890665349979492</v>
      </c>
      <c r="T44">
        <f>(1-R44)*P44</f>
        <v>-0.53182365657718966</v>
      </c>
      <c r="U44" s="2">
        <f>_xlfn.T.DIST.RT(E44*(G44-0.4),F44)</f>
        <v>0.99221831877334055</v>
      </c>
      <c r="V44">
        <f>U44*M44</f>
        <v>0.29868524110665173</v>
      </c>
      <c r="W44">
        <f>(1-U44)*P44</f>
        <v>-3.878442366805581E-2</v>
      </c>
      <c r="X44" s="2">
        <f>_xlfn.T.DIST.RT(E44*(G44-0.8),F44)</f>
        <v>0.99999481316287242</v>
      </c>
      <c r="Y44">
        <f>X44*M44</f>
        <v>0.30102618166152212</v>
      </c>
      <c r="Z44">
        <f>(1-X44)*P44</f>
        <v>-2.5851545802733461E-5</v>
      </c>
      <c r="AB44">
        <f>C44*M44</f>
        <v>0.15051387152169809</v>
      </c>
      <c r="AC44">
        <f>D44*P44</f>
        <v>-2.4920336967275976</v>
      </c>
      <c r="AD44">
        <f>(C44+0.01)*M44</f>
        <v>0.15352414895213207</v>
      </c>
      <c r="AE44">
        <f>(D44-0.01)*P44</f>
        <v>-2.4421930227930457</v>
      </c>
      <c r="AF44">
        <f>(C44+0.05)*M44</f>
        <v>0.16556525867386793</v>
      </c>
      <c r="AG44">
        <f>(D44-0.05)*P44</f>
        <v>-2.242830327054838</v>
      </c>
      <c r="AH44">
        <f>(C44+0.1)*M44</f>
        <v>0.1806166458260377</v>
      </c>
      <c r="AI44">
        <f>(D44-0.1)*P44</f>
        <v>-1.9936269573820782</v>
      </c>
      <c r="AK44">
        <f t="shared" si="60"/>
        <v>-0.26291700307739474</v>
      </c>
      <c r="AL44">
        <f t="shared" si="61"/>
        <v>0.25990081743859594</v>
      </c>
      <c r="AM44">
        <f t="shared" si="62"/>
        <v>0.30100033011571936</v>
      </c>
      <c r="AN44">
        <f t="shared" si="63"/>
        <v>-2.3415198252058995</v>
      </c>
      <c r="AO44">
        <f t="shared" si="64"/>
        <v>-2.2886688738409138</v>
      </c>
      <c r="AP44">
        <f t="shared" si="65"/>
        <v>-2.0772650683809699</v>
      </c>
      <c r="AQ44">
        <f t="shared" si="13"/>
        <v>-1.8130103115560405</v>
      </c>
    </row>
    <row r="45" spans="1:43" x14ac:dyDescent="0.3">
      <c r="A45">
        <v>40</v>
      </c>
      <c r="B45">
        <v>0.8</v>
      </c>
      <c r="C45">
        <v>0.2</v>
      </c>
      <c r="D45">
        <f t="shared" si="58"/>
        <v>0.8</v>
      </c>
      <c r="E45">
        <f t="shared" si="80"/>
        <v>6.324555320336759</v>
      </c>
      <c r="F45">
        <f t="shared" si="81"/>
        <v>39</v>
      </c>
      <c r="G45">
        <f t="shared" si="82"/>
        <v>0.13454464018741705</v>
      </c>
      <c r="H45">
        <f t="shared" si="83"/>
        <v>-0.66545535981258297</v>
      </c>
      <c r="I45" s="2">
        <f>_xlfn.T.DIST.RT(E45*H45,F45)</f>
        <v>0.99992700423083347</v>
      </c>
      <c r="J45">
        <f>1-I45</f>
        <v>7.299576916652839E-5</v>
      </c>
      <c r="L45">
        <f>I45/C45</f>
        <v>4.9996350211541669</v>
      </c>
      <c r="M45">
        <f t="shared" si="84"/>
        <v>0.69893830151916758</v>
      </c>
      <c r="O45">
        <f>J45/D45</f>
        <v>9.1244711458160488E-5</v>
      </c>
      <c r="P45">
        <f t="shared" si="59"/>
        <v>-4.0397922978424212</v>
      </c>
      <c r="R45" s="4">
        <f>_xlfn.T.DIST.RT(E45*(G45-0.2),F45)</f>
        <v>0.65942021260902139</v>
      </c>
      <c r="S45">
        <f>R45*M45</f>
        <v>0.46089404338835777</v>
      </c>
      <c r="T45">
        <f>(1-R45)*P45</f>
        <v>-1.3758716019028847</v>
      </c>
      <c r="U45" s="2">
        <f>_xlfn.T.DIST.RT(E45*(G45-0.4),F45)</f>
        <v>0.94941492689124407</v>
      </c>
      <c r="V45">
        <f>U45*M45</f>
        <v>0.66358245643831082</v>
      </c>
      <c r="W45">
        <f>(1-U45)*P45</f>
        <v>-0.20435318873054797</v>
      </c>
      <c r="X45" s="2">
        <f>_xlfn.T.DIST.RT(E45*(G45-0.8),F45)</f>
        <v>0.99992700423083347</v>
      </c>
      <c r="Y45">
        <f>X45*M45</f>
        <v>0.6988872819802483</v>
      </c>
      <c r="Z45">
        <f>(1-X45)*P45</f>
        <v>-2.9488774605402468E-4</v>
      </c>
      <c r="AB45">
        <f>C45*M45</f>
        <v>0.13978766030383352</v>
      </c>
      <c r="AC45">
        <f>D45*P45</f>
        <v>-3.2318338382739373</v>
      </c>
      <c r="AD45">
        <f>(C45+0.01)*M45</f>
        <v>0.14677704331902522</v>
      </c>
      <c r="AE45">
        <f>(D45-0.01)*P45</f>
        <v>-3.191435915295513</v>
      </c>
      <c r="AF45">
        <f>(C45+0.05)*M45</f>
        <v>0.1747345753797919</v>
      </c>
      <c r="AG45">
        <f>(D45-0.05)*P45</f>
        <v>-3.0298442233818159</v>
      </c>
      <c r="AH45">
        <f>(C45+0.1)*M45</f>
        <v>0.2096814904557503</v>
      </c>
      <c r="AI45">
        <f>(D45-0.1)*P45</f>
        <v>-2.8278546084896949</v>
      </c>
      <c r="AK45">
        <f t="shared" si="60"/>
        <v>-0.914977558514527</v>
      </c>
      <c r="AL45">
        <f t="shared" si="61"/>
        <v>0.45922926770776284</v>
      </c>
      <c r="AM45">
        <f t="shared" si="62"/>
        <v>0.69859239423419428</v>
      </c>
      <c r="AN45">
        <f t="shared" si="63"/>
        <v>-3.0920461779701038</v>
      </c>
      <c r="AO45">
        <f t="shared" si="64"/>
        <v>-3.0446588719764875</v>
      </c>
      <c r="AP45">
        <f t="shared" si="65"/>
        <v>-2.8551096480020242</v>
      </c>
      <c r="AQ45">
        <f t="shared" si="13"/>
        <v>-2.6181731180339445</v>
      </c>
    </row>
    <row r="46" spans="1:43" x14ac:dyDescent="0.3">
      <c r="A46">
        <v>40</v>
      </c>
      <c r="B46">
        <v>0.8</v>
      </c>
      <c r="C46">
        <v>0.1</v>
      </c>
      <c r="D46">
        <f t="shared" si="58"/>
        <v>0.9</v>
      </c>
      <c r="E46">
        <f t="shared" si="80"/>
        <v>6.324555320336759</v>
      </c>
      <c r="F46">
        <f t="shared" si="81"/>
        <v>39</v>
      </c>
      <c r="G46">
        <f t="shared" si="82"/>
        <v>0.2061233592865245</v>
      </c>
      <c r="H46">
        <f t="shared" si="83"/>
        <v>-0.59387664071347557</v>
      </c>
      <c r="I46" s="2">
        <f>_xlfn.T.DIST.RT(E46*H46,F46)</f>
        <v>0.9997181450537177</v>
      </c>
      <c r="J46">
        <f>1-I46</f>
        <v>2.8185494628230057E-4</v>
      </c>
      <c r="L46">
        <f>I46/C46</f>
        <v>9.9971814505371768</v>
      </c>
      <c r="M46">
        <f t="shared" si="84"/>
        <v>0.99987757469823346</v>
      </c>
      <c r="O46">
        <f>J46/D46</f>
        <v>3.1317216253588949E-4</v>
      </c>
      <c r="P46">
        <f t="shared" si="59"/>
        <v>-3.5042168487672054</v>
      </c>
      <c r="R46" s="4">
        <f>_xlfn.T.DIST.RT(E46*(G46-0.2),F46)</f>
        <v>0.48465259909069069</v>
      </c>
      <c r="S46">
        <f>R46*M46</f>
        <v>0.48459326534999508</v>
      </c>
      <c r="T46">
        <f>(1-R46)*P46</f>
        <v>-1.8058890452347895</v>
      </c>
      <c r="U46" s="2">
        <f>_xlfn.T.DIST.RT(E46*(G46-0.4),F46)</f>
        <v>0.88625902124626454</v>
      </c>
      <c r="V46">
        <f>U46*M46</f>
        <v>0.88615052071814515</v>
      </c>
      <c r="W46">
        <f>(1-U46)*P46</f>
        <v>-0.39857305414411254</v>
      </c>
      <c r="X46" s="2">
        <f>_xlfn.T.DIST.RT(E46*(G46-0.8),F46)</f>
        <v>0.9997181450537177</v>
      </c>
      <c r="Y46">
        <f>X46*M46</f>
        <v>0.99959575425812797</v>
      </c>
      <c r="Z46">
        <f>(1-X46)*P46</f>
        <v>-9.876808516708132E-4</v>
      </c>
      <c r="AB46">
        <f>C46*M46</f>
        <v>9.9987757469823357E-2</v>
      </c>
      <c r="AC46">
        <f>D46*P46</f>
        <v>-3.1537951638904849</v>
      </c>
      <c r="AD46">
        <f>(C46+0.01)*M46</f>
        <v>0.10998653321680568</v>
      </c>
      <c r="AE46">
        <f>(D46-0.01)*P46</f>
        <v>-3.1187529954028128</v>
      </c>
      <c r="AF46">
        <f>(C46+0.05)*M46</f>
        <v>0.14998163620473504</v>
      </c>
      <c r="AG46">
        <f>(D46-0.05)*P46</f>
        <v>-2.9785843214521246</v>
      </c>
      <c r="AH46">
        <f>(C46+0.1)*M46</f>
        <v>0.19997551493964671</v>
      </c>
      <c r="AI46">
        <f>(D46-0.1)*P46</f>
        <v>-2.8033734790137643</v>
      </c>
      <c r="AK46">
        <f t="shared" si="60"/>
        <v>-1.3212957798847944</v>
      </c>
      <c r="AL46">
        <f t="shared" si="61"/>
        <v>0.48757746657403261</v>
      </c>
      <c r="AM46">
        <f t="shared" si="62"/>
        <v>0.99860807340645719</v>
      </c>
      <c r="AN46">
        <f t="shared" si="63"/>
        <v>-3.0538074064206615</v>
      </c>
      <c r="AO46">
        <f t="shared" si="64"/>
        <v>-3.0087664621860073</v>
      </c>
      <c r="AP46">
        <f t="shared" si="65"/>
        <v>-2.8286026852473896</v>
      </c>
      <c r="AQ46">
        <f t="shared" si="13"/>
        <v>-2.6033979640741176</v>
      </c>
    </row>
    <row r="47" spans="1:43" x14ac:dyDescent="0.3">
      <c r="A47">
        <v>40</v>
      </c>
      <c r="B47">
        <v>0.8</v>
      </c>
      <c r="C47">
        <v>0.05</v>
      </c>
      <c r="D47">
        <f t="shared" si="58"/>
        <v>0.95</v>
      </c>
      <c r="E47">
        <f t="shared" si="80"/>
        <v>6.324555320336759</v>
      </c>
      <c r="F47">
        <f t="shared" si="81"/>
        <v>39</v>
      </c>
      <c r="G47">
        <f t="shared" si="82"/>
        <v>0.26640214787804423</v>
      </c>
      <c r="H47">
        <f t="shared" si="83"/>
        <v>-0.53359785212195576</v>
      </c>
      <c r="I47" s="2">
        <f>_xlfn.T.DIST.RT(E47*H47,F47)</f>
        <v>0.99915899347942094</v>
      </c>
      <c r="J47">
        <f>1-I47</f>
        <v>8.4100652057905734E-4</v>
      </c>
      <c r="L47">
        <f>I47/C47</f>
        <v>19.983179869588419</v>
      </c>
      <c r="M47">
        <f t="shared" si="84"/>
        <v>1.3006645975001838</v>
      </c>
      <c r="O47">
        <f>J47/D47</f>
        <v>8.8527002166216562E-4</v>
      </c>
      <c r="P47">
        <f t="shared" si="59"/>
        <v>-3.0529242422608225</v>
      </c>
      <c r="R47" s="4">
        <f>_xlfn.T.DIST.RT(E47*(G47-0.2),F47)</f>
        <v>0.33840822369004592</v>
      </c>
      <c r="S47">
        <f>R47*M47</f>
        <v>0.44015559605656573</v>
      </c>
      <c r="T47">
        <f>(1-R47)*P47</f>
        <v>-2.0197895723770585</v>
      </c>
      <c r="U47" s="2">
        <f>_xlfn.T.DIST.RT(E47*(G47-0.4),F47)</f>
        <v>0.79835284600482082</v>
      </c>
      <c r="V47">
        <f>U47*M47</f>
        <v>1.0383892831119865</v>
      </c>
      <c r="W47">
        <f>(1-U47)*P47</f>
        <v>-0.61561348481478384</v>
      </c>
      <c r="X47" s="2">
        <f>_xlfn.T.DIST.RT(E47*(G47-0.8),F47)</f>
        <v>0.99915899347942094</v>
      </c>
      <c r="Y47">
        <f>X47*M47</f>
        <v>1.2995707300925998</v>
      </c>
      <c r="Z47">
        <f>(1-X47)*P47</f>
        <v>-2.5675291945752294E-3</v>
      </c>
      <c r="AB47">
        <f>C47*M47</f>
        <v>6.5033229875009188E-2</v>
      </c>
      <c r="AC47">
        <f>D47*P47</f>
        <v>-2.9002780301477813</v>
      </c>
      <c r="AD47">
        <f>(C47+0.01)*M47</f>
        <v>7.8039875850011028E-2</v>
      </c>
      <c r="AE47">
        <f>(D47-0.01)*P47</f>
        <v>-2.8697487877251731</v>
      </c>
      <c r="AF47">
        <f>(C47+0.05)*M47</f>
        <v>0.13006645975001838</v>
      </c>
      <c r="AG47">
        <f>(D47-0.05)*P47</f>
        <v>-2.7476318180347401</v>
      </c>
      <c r="AH47">
        <f>(C47+0.1)*M47</f>
        <v>0.19509968962502761</v>
      </c>
      <c r="AI47">
        <f>(D47-0.1)*P47</f>
        <v>-2.5949856059216989</v>
      </c>
      <c r="AK47">
        <f t="shared" si="60"/>
        <v>-1.5796339763204927</v>
      </c>
      <c r="AL47">
        <f t="shared" si="61"/>
        <v>0.42277579829720269</v>
      </c>
      <c r="AM47">
        <f t="shared" si="62"/>
        <v>1.2970032008980246</v>
      </c>
      <c r="AN47">
        <f t="shared" si="63"/>
        <v>-2.8352448002727719</v>
      </c>
      <c r="AO47">
        <f t="shared" si="64"/>
        <v>-2.7917089118751619</v>
      </c>
      <c r="AP47">
        <f t="shared" si="65"/>
        <v>-2.6175653582847218</v>
      </c>
      <c r="AQ47">
        <f t="shared" si="13"/>
        <v>-2.3998859162966713</v>
      </c>
    </row>
    <row r="48" spans="1:43" x14ac:dyDescent="0.3">
      <c r="A48">
        <v>40</v>
      </c>
      <c r="B48">
        <v>0.8</v>
      </c>
      <c r="C48">
        <v>0.02</v>
      </c>
      <c r="D48">
        <f t="shared" si="58"/>
        <v>0.98</v>
      </c>
      <c r="E48">
        <f t="shared" si="80"/>
        <v>6.324555320336759</v>
      </c>
      <c r="F48">
        <f t="shared" si="81"/>
        <v>39</v>
      </c>
      <c r="G48">
        <f t="shared" si="82"/>
        <v>0.33595121928354521</v>
      </c>
      <c r="H48">
        <f t="shared" si="83"/>
        <v>-0.46404878071645483</v>
      </c>
      <c r="I48" s="2">
        <f>_xlfn.T.DIST.RT(E48*H48,F48)</f>
        <v>0.9972163524043155</v>
      </c>
      <c r="J48">
        <f>1-I48</f>
        <v>2.7836475956845019E-3</v>
      </c>
      <c r="L48">
        <f>I48/C48</f>
        <v>49.860817620215776</v>
      </c>
      <c r="M48">
        <f t="shared" si="84"/>
        <v>1.6977593958090826</v>
      </c>
      <c r="O48">
        <f>J48/D48</f>
        <v>2.8404567302903081E-3</v>
      </c>
      <c r="P48">
        <f t="shared" si="59"/>
        <v>-2.5466118221020131</v>
      </c>
      <c r="R48" s="4">
        <f>_xlfn.T.DIST.RT(E48*(G48-0.2),F48)</f>
        <v>0.19756850266251474</v>
      </c>
      <c r="S48">
        <f>R48*M48</f>
        <v>0.33542378171121617</v>
      </c>
      <c r="T48">
        <f>(1-R48)*P48</f>
        <v>-2.04348153754666</v>
      </c>
      <c r="U48" s="2">
        <f>_xlfn.T.DIST.RT(E48*(G48-0.4),F48)</f>
        <v>0.65618392433069184</v>
      </c>
      <c r="V48">
        <f>U48*M48</f>
        <v>1.1140424229113082</v>
      </c>
      <c r="W48">
        <f>(1-U48)*P48</f>
        <v>-0.8755660829281805</v>
      </c>
      <c r="X48" s="2">
        <f>_xlfn.T.DIST.RT(E48*(G48-0.8),F48)</f>
        <v>0.9972163524043155</v>
      </c>
      <c r="Y48">
        <f>X48*M48</f>
        <v>1.693033431948888</v>
      </c>
      <c r="Z48">
        <f>(1-X48)*P48</f>
        <v>-7.088869875735997E-3</v>
      </c>
      <c r="AB48">
        <f>C48*M48</f>
        <v>3.3955187916181656E-2</v>
      </c>
      <c r="AC48">
        <f>D48*P48</f>
        <v>-2.4956795856599729</v>
      </c>
      <c r="AD48">
        <f>(C48+0.01)*M48</f>
        <v>5.0932781874272477E-2</v>
      </c>
      <c r="AE48">
        <f>(D48-0.01)*P48</f>
        <v>-2.4702134674389526</v>
      </c>
      <c r="AF48">
        <f>(C48+0.05)*M48</f>
        <v>0.1188431577066358</v>
      </c>
      <c r="AG48">
        <f>(D48-0.05)*P48</f>
        <v>-2.3683489945548719</v>
      </c>
      <c r="AH48">
        <f>(C48+0.1)*M48</f>
        <v>0.20373112749708994</v>
      </c>
      <c r="AI48">
        <f>(D48-0.1)*P48</f>
        <v>-2.2410184034497713</v>
      </c>
      <c r="AK48">
        <f t="shared" si="60"/>
        <v>-1.7080577558354437</v>
      </c>
      <c r="AL48">
        <f t="shared" si="61"/>
        <v>0.23847633998312767</v>
      </c>
      <c r="AM48">
        <f t="shared" si="62"/>
        <v>1.6859445620731519</v>
      </c>
      <c r="AN48">
        <f t="shared" si="63"/>
        <v>-2.4617243977437915</v>
      </c>
      <c r="AO48">
        <f t="shared" si="64"/>
        <v>-2.4192806855646802</v>
      </c>
      <c r="AP48">
        <f t="shared" si="65"/>
        <v>-2.2495058368482361</v>
      </c>
      <c r="AQ48">
        <f t="shared" si="13"/>
        <v>-2.0372872759526812</v>
      </c>
    </row>
    <row r="49" spans="1:43" x14ac:dyDescent="0.3">
      <c r="A49">
        <v>40</v>
      </c>
      <c r="B49">
        <v>0.8</v>
      </c>
      <c r="C49">
        <v>0.01</v>
      </c>
      <c r="D49">
        <f t="shared" si="58"/>
        <v>0.99</v>
      </c>
      <c r="E49">
        <f t="shared" si="80"/>
        <v>6.324555320336759</v>
      </c>
      <c r="F49">
        <f t="shared" si="81"/>
        <v>39</v>
      </c>
      <c r="G49">
        <f t="shared" si="82"/>
        <v>0.3835592048559176</v>
      </c>
      <c r="H49">
        <f t="shared" si="83"/>
        <v>-0.41644079514408244</v>
      </c>
      <c r="I49" s="2">
        <f>_xlfn.T.DIST.RT(E49*H49,F49)</f>
        <v>0.99397801192967616</v>
      </c>
      <c r="J49">
        <f>1-I49</f>
        <v>6.021988070323836E-3</v>
      </c>
      <c r="L49">
        <f>I49/C49</f>
        <v>99.39780119296762</v>
      </c>
      <c r="M49">
        <f t="shared" si="84"/>
        <v>1.9973767773518103</v>
      </c>
      <c r="O49">
        <f>J49/D49</f>
        <v>6.0828162326503395E-3</v>
      </c>
      <c r="P49">
        <f t="shared" si="59"/>
        <v>-2.2158953037658211</v>
      </c>
      <c r="R49" s="4">
        <f>_xlfn.T.DIST.RT(E49*(G49-0.2),F49)</f>
        <v>0.12636352571639692</v>
      </c>
      <c r="S49">
        <f>R49*M49</f>
        <v>0.25239557177022948</v>
      </c>
      <c r="T49">
        <f>(1-R49)*P49</f>
        <v>-1.9358869605635658</v>
      </c>
      <c r="U49" s="2">
        <f>_xlfn.T.DIST.RT(E49*(G49-0.4),F49)</f>
        <v>0.54114122705225753</v>
      </c>
      <c r="V49">
        <f>U49*M49</f>
        <v>1.0808629201818425</v>
      </c>
      <c r="W49">
        <f>(1-U49)*P49</f>
        <v>-1.0167830000666498</v>
      </c>
      <c r="X49" s="2">
        <f>_xlfn.T.DIST.RT(E49*(G49-0.8),F49)</f>
        <v>0.99397801192967616</v>
      </c>
      <c r="Y49">
        <f>X49*M49</f>
        <v>1.9853485982266559</v>
      </c>
      <c r="Z49">
        <f>(1-X49)*P49</f>
        <v>-1.3344095084364387E-2</v>
      </c>
      <c r="AB49">
        <f>C49*M49</f>
        <v>1.9973767773518104E-2</v>
      </c>
      <c r="AC49">
        <f>D49*P49</f>
        <v>-2.1937363507281629</v>
      </c>
      <c r="AD49">
        <f>(C49+0.01)*M49</f>
        <v>3.9947535547036207E-2</v>
      </c>
      <c r="AE49">
        <f>(D49-0.01)*P49</f>
        <v>-2.1715773976905046</v>
      </c>
      <c r="AF49">
        <f>(C49+0.05)*M49</f>
        <v>0.11984260664110863</v>
      </c>
      <c r="AG49">
        <f>(D49-0.05)*P49</f>
        <v>-2.0829415855398716</v>
      </c>
      <c r="AH49">
        <f>(C49+0.1)*M49</f>
        <v>0.21971144550869914</v>
      </c>
      <c r="AI49">
        <f>(D49-0.1)*P49</f>
        <v>-1.9721468203515808</v>
      </c>
      <c r="AK49">
        <f t="shared" si="60"/>
        <v>-1.6834913887933363</v>
      </c>
      <c r="AL49">
        <f t="shared" si="61"/>
        <v>6.4079920115192701E-2</v>
      </c>
      <c r="AM49">
        <f t="shared" si="62"/>
        <v>1.9720045031422915</v>
      </c>
      <c r="AN49">
        <f t="shared" si="63"/>
        <v>-2.173762582954645</v>
      </c>
      <c r="AO49">
        <f t="shared" si="64"/>
        <v>-2.1316298621434684</v>
      </c>
      <c r="AP49">
        <f t="shared" si="65"/>
        <v>-1.9630989788987629</v>
      </c>
      <c r="AQ49">
        <f t="shared" si="13"/>
        <v>-1.7524353748428818</v>
      </c>
    </row>
    <row r="50" spans="1:43" x14ac:dyDescent="0.3">
      <c r="A50">
        <v>40</v>
      </c>
      <c r="B50">
        <v>0.8</v>
      </c>
      <c r="C50">
        <v>5.0000000000000001E-3</v>
      </c>
      <c r="D50">
        <f t="shared" ref="D50" si="85">1-C50</f>
        <v>0.995</v>
      </c>
      <c r="E50">
        <f t="shared" ref="E50" si="86">SQRT(A50)</f>
        <v>6.324555320336759</v>
      </c>
      <c r="F50">
        <f t="shared" ref="F50" si="87">A50-1</f>
        <v>39</v>
      </c>
      <c r="G50">
        <f t="shared" ref="G50" si="88">-_xlfn.T.INV(C50,F50)/E50</f>
        <v>0.42815866829566684</v>
      </c>
      <c r="H50">
        <f t="shared" ref="H50" si="89">G50-B50</f>
        <v>-0.3718413317043332</v>
      </c>
      <c r="I50" s="2">
        <f>_xlfn.T.DIST.RT(E50*H50,F50)</f>
        <v>0.98808437505566504</v>
      </c>
      <c r="J50">
        <f>1-I50</f>
        <v>1.1915624944334957E-2</v>
      </c>
      <c r="L50">
        <f>I50/C50</f>
        <v>197.616875011133</v>
      </c>
      <c r="M50">
        <f t="shared" ref="M50" si="90">LOG10(L50)</f>
        <v>2.2958240273533246</v>
      </c>
      <c r="O50">
        <f>J50/D50</f>
        <v>1.1975502456618048E-2</v>
      </c>
      <c r="P50">
        <f t="shared" ref="P50" si="91">LOG10(O50)</f>
        <v>-1.9217062558208113</v>
      </c>
      <c r="R50" s="4">
        <f>_xlfn.T.DIST.RT(E50*(G50-0.2),F50)</f>
        <v>7.8502144662902382E-2</v>
      </c>
      <c r="S50">
        <f>R50*M50</f>
        <v>0.18022710991585783</v>
      </c>
      <c r="T50">
        <f>(1-R50)*P50</f>
        <v>-1.7708481933267615</v>
      </c>
      <c r="U50" s="2">
        <f>_xlfn.T.DIST.RT(E50*(G50-0.4),F50)</f>
        <v>0.42978665958895368</v>
      </c>
      <c r="V50">
        <f>U50*M50</f>
        <v>0.98671453972024403</v>
      </c>
      <c r="W50">
        <f>(1-U50)*P50</f>
        <v>-1.0957825434203896</v>
      </c>
      <c r="X50" s="2">
        <f>_xlfn.T.DIST.RT(E50*(G50-0.8),F50)</f>
        <v>0.98808437505566504</v>
      </c>
      <c r="Y50">
        <f>X50*M50</f>
        <v>2.26846784930519</v>
      </c>
      <c r="Z50">
        <f>(1-X50)*P50</f>
        <v>-2.2898330997542994E-2</v>
      </c>
      <c r="AB50">
        <f>C50*M50</f>
        <v>1.1479120136766623E-2</v>
      </c>
      <c r="AC50">
        <f>D50*P50</f>
        <v>-1.9120977245417072</v>
      </c>
      <c r="AD50">
        <f>(C50+0.01)*M50</f>
        <v>3.4437360410299871E-2</v>
      </c>
      <c r="AE50">
        <f>(D50-0.01)*P50</f>
        <v>-1.8928806619834992</v>
      </c>
      <c r="AF50">
        <f>(C50+0.05)*M50</f>
        <v>0.12627032150443285</v>
      </c>
      <c r="AG50">
        <f>(D50-0.05)*P50</f>
        <v>-1.8160124117506666</v>
      </c>
      <c r="AH50">
        <f>(C50+0.1)*M50</f>
        <v>0.24106152287209912</v>
      </c>
      <c r="AI50">
        <f>(D50-0.1)*P50</f>
        <v>-1.7199270989596263</v>
      </c>
      <c r="AK50">
        <f t="shared" ref="AK50" si="92">S50+T50</f>
        <v>-1.5906210834109036</v>
      </c>
      <c r="AL50">
        <f t="shared" ref="AL50" si="93">V50+W50</f>
        <v>-0.10906800370014558</v>
      </c>
      <c r="AM50">
        <f t="shared" ref="AM50" si="94">Y50+Z50</f>
        <v>2.2455695183076472</v>
      </c>
      <c r="AN50">
        <f t="shared" ref="AN50" si="95">AB50+AC50</f>
        <v>-1.9006186044049407</v>
      </c>
      <c r="AO50">
        <f t="shared" ref="AO50" si="96">AD50+AE50</f>
        <v>-1.8584433015731994</v>
      </c>
      <c r="AP50">
        <f t="shared" ref="AP50" si="97">AF50+AG50</f>
        <v>-1.6897420902462339</v>
      </c>
      <c r="AQ50">
        <f t="shared" ref="AQ50" si="98">AH50+AI50</f>
        <v>-1.4788655760875271</v>
      </c>
    </row>
    <row r="51" spans="1:43" x14ac:dyDescent="0.3">
      <c r="A51">
        <v>40</v>
      </c>
      <c r="B51">
        <v>0.8</v>
      </c>
      <c r="C51">
        <v>2E-3</v>
      </c>
      <c r="D51">
        <f t="shared" si="58"/>
        <v>0.998</v>
      </c>
      <c r="E51">
        <f t="shared" si="80"/>
        <v>6.324555320336759</v>
      </c>
      <c r="F51">
        <f t="shared" si="81"/>
        <v>39</v>
      </c>
      <c r="G51">
        <f t="shared" si="82"/>
        <v>0.48371608563369134</v>
      </c>
      <c r="H51">
        <f t="shared" si="83"/>
        <v>-0.3162839143663087</v>
      </c>
      <c r="I51" s="2">
        <f>_xlfn.T.DIST.RT(E51*H51,F51)</f>
        <v>0.97377045749692825</v>
      </c>
      <c r="J51">
        <f>1-I51</f>
        <v>2.6229542503071746E-2</v>
      </c>
      <c r="L51">
        <f>I51/C51</f>
        <v>486.8852287484641</v>
      </c>
      <c r="M51">
        <f t="shared" si="84"/>
        <v>2.6874265990060651</v>
      </c>
      <c r="O51">
        <f>J51/D51</f>
        <v>2.6282106716504754E-2</v>
      </c>
      <c r="P51">
        <f t="shared" si="59"/>
        <v>-1.5803398256159724</v>
      </c>
      <c r="R51" s="4">
        <f>_xlfn.T.DIST.RT(E51*(G51-0.2),F51)</f>
        <v>4.0253720616492808E-2</v>
      </c>
      <c r="S51">
        <f>R51*M51</f>
        <v>0.10817891949372159</v>
      </c>
      <c r="T51">
        <f>(1-R51)*P51</f>
        <v>-1.5167252677965102</v>
      </c>
      <c r="U51" s="2">
        <f>_xlfn.T.DIST.RT(E51*(G51-0.4),F51)</f>
        <v>0.29974136014648944</v>
      </c>
      <c r="V51">
        <f>U51*M51</f>
        <v>0.80553290407993217</v>
      </c>
      <c r="W51">
        <f>(1-U51)*P51</f>
        <v>-1.1066466167921749</v>
      </c>
      <c r="X51" s="2">
        <f>_xlfn.T.DIST.RT(E51*(G51-0.8),F51)</f>
        <v>0.97377045749692825</v>
      </c>
      <c r="Y51">
        <f>X51*M51</f>
        <v>2.61693662880355</v>
      </c>
      <c r="Z51">
        <f>(1-X51)*P51</f>
        <v>-4.1451590625291142E-2</v>
      </c>
      <c r="AB51">
        <f>C51*M51</f>
        <v>5.3748531980121299E-3</v>
      </c>
      <c r="AC51">
        <f>D51*P51</f>
        <v>-1.5771791459647404</v>
      </c>
      <c r="AD51">
        <f>(C51+0.01)*M51</f>
        <v>3.2249119188072779E-2</v>
      </c>
      <c r="AE51">
        <f>(D51-0.01)*P51</f>
        <v>-1.5613757477085808</v>
      </c>
      <c r="AF51">
        <f>(C51+0.05)*M51</f>
        <v>0.13974618314831538</v>
      </c>
      <c r="AG51">
        <f>(D51-0.05)*P51</f>
        <v>-1.4981621546839419</v>
      </c>
      <c r="AH51">
        <f>(C51+0.1)*M51</f>
        <v>0.27411751309861865</v>
      </c>
      <c r="AI51">
        <f>(D51-0.1)*P51</f>
        <v>-1.4191451634031433</v>
      </c>
      <c r="AK51">
        <f t="shared" si="60"/>
        <v>-1.4085463483027887</v>
      </c>
      <c r="AL51">
        <f t="shared" si="61"/>
        <v>-0.30111371271224274</v>
      </c>
      <c r="AM51">
        <f t="shared" si="62"/>
        <v>2.5754850381782588</v>
      </c>
      <c r="AN51">
        <f t="shared" si="63"/>
        <v>-1.5718042927667282</v>
      </c>
      <c r="AO51">
        <f t="shared" si="64"/>
        <v>-1.5291266285205081</v>
      </c>
      <c r="AP51">
        <f t="shared" si="65"/>
        <v>-1.3584159715356265</v>
      </c>
      <c r="AQ51">
        <f t="shared" si="13"/>
        <v>-1.1450276503045247</v>
      </c>
    </row>
    <row r="52" spans="1:43" x14ac:dyDescent="0.3">
      <c r="A52">
        <v>40</v>
      </c>
      <c r="B52">
        <v>0.8</v>
      </c>
      <c r="C52">
        <v>1E-3</v>
      </c>
      <c r="D52">
        <f t="shared" si="58"/>
        <v>0.999</v>
      </c>
      <c r="E52">
        <f t="shared" si="80"/>
        <v>6.324555320336759</v>
      </c>
      <c r="F52">
        <f t="shared" si="81"/>
        <v>39</v>
      </c>
      <c r="G52">
        <f t="shared" si="82"/>
        <v>0.52379778733526949</v>
      </c>
      <c r="H52">
        <f t="shared" si="83"/>
        <v>-0.27620221266473055</v>
      </c>
      <c r="I52" s="2">
        <f>_xlfn.T.DIST.RT(E52*H52,F52)</f>
        <v>0.95573283402566922</v>
      </c>
      <c r="J52">
        <f>1-I52</f>
        <v>4.426716597433078E-2</v>
      </c>
      <c r="L52">
        <f>I52/C52</f>
        <v>955.73283402566915</v>
      </c>
      <c r="M52">
        <f t="shared" si="84"/>
        <v>2.9803365063720717</v>
      </c>
      <c r="O52">
        <f>J52/D52</f>
        <v>4.4311477451782565E-2</v>
      </c>
      <c r="P52">
        <f t="shared" si="59"/>
        <v>-1.3534837692990298</v>
      </c>
      <c r="R52" s="4">
        <f>_xlfn.T.DIST.RT(E52*(G52-0.2),F52)</f>
        <v>2.3674042570036167E-2</v>
      </c>
      <c r="S52">
        <f>R52*M52</f>
        <v>7.0556613324885289E-2</v>
      </c>
      <c r="T52">
        <f>(1-R52)*P52</f>
        <v>-1.3214413369267917</v>
      </c>
      <c r="U52" s="2">
        <f>_xlfn.T.DIST.RT(E52*(G52-0.4),F52)</f>
        <v>0.21918795324878237</v>
      </c>
      <c r="V52">
        <f>U52*M52</f>
        <v>0.65325385882432108</v>
      </c>
      <c r="W52">
        <f>(1-U52)*P52</f>
        <v>-1.0568164321509284</v>
      </c>
      <c r="X52" s="2">
        <f>_xlfn.T.DIST.RT(E52*(G52-0.8),F52)</f>
        <v>0.95573283402566922</v>
      </c>
      <c r="Y52">
        <f>X52*M52</f>
        <v>2.8484054555851421</v>
      </c>
      <c r="Z52">
        <f>(1-X52)*P52</f>
        <v>-5.9914890659122984E-2</v>
      </c>
      <c r="AB52">
        <f>C52*M52</f>
        <v>2.980336506372072E-3</v>
      </c>
      <c r="AC52">
        <f>D52*P52</f>
        <v>-1.3521302855297308</v>
      </c>
      <c r="AD52">
        <f>(C52+0.01)*M52</f>
        <v>3.2783701570092784E-2</v>
      </c>
      <c r="AE52">
        <f>(D52-0.01)*P52</f>
        <v>-1.3385954478367406</v>
      </c>
      <c r="AF52">
        <f>(C52+0.05)*M52</f>
        <v>0.15199716182497566</v>
      </c>
      <c r="AG52">
        <f>(D52-0.05)*P52</f>
        <v>-1.2844560970647791</v>
      </c>
      <c r="AH52">
        <f>(C52+0.1)*M52</f>
        <v>0.30101398714357924</v>
      </c>
      <c r="AI52">
        <f>(D52-0.1)*P52</f>
        <v>-1.2167819085998279</v>
      </c>
      <c r="AK52">
        <f t="shared" si="60"/>
        <v>-1.2508847236019063</v>
      </c>
      <c r="AL52">
        <f t="shared" si="61"/>
        <v>-0.40356257332660728</v>
      </c>
      <c r="AM52">
        <f t="shared" si="62"/>
        <v>2.7884905649260192</v>
      </c>
      <c r="AN52">
        <f t="shared" si="63"/>
        <v>-1.3491499490233587</v>
      </c>
      <c r="AO52">
        <f t="shared" si="64"/>
        <v>-1.3058117462666479</v>
      </c>
      <c r="AP52">
        <f t="shared" si="65"/>
        <v>-1.1324589352398036</v>
      </c>
      <c r="AQ52">
        <f t="shared" si="13"/>
        <v>-0.91576792145624863</v>
      </c>
    </row>
    <row r="53" spans="1:43" x14ac:dyDescent="0.3">
      <c r="A53">
        <v>40</v>
      </c>
      <c r="B53">
        <v>0.8</v>
      </c>
      <c r="C53">
        <v>1.189714E-4</v>
      </c>
      <c r="D53">
        <f t="shared" si="58"/>
        <v>0.99988102860000005</v>
      </c>
      <c r="E53">
        <v>6.32455532</v>
      </c>
      <c r="F53">
        <v>39</v>
      </c>
      <c r="G53">
        <v>0.63987547199999995</v>
      </c>
      <c r="H53">
        <v>-0.16012452799999999</v>
      </c>
      <c r="I53">
        <v>0.84128119099999998</v>
      </c>
      <c r="J53">
        <f>1-I53</f>
        <v>0.15871880900000002</v>
      </c>
      <c r="L53">
        <f>I53/C53</f>
        <v>7071.2893266785122</v>
      </c>
      <c r="M53">
        <f t="shared" ref="M53" si="99">LOG10(L53)</f>
        <v>3.8494986070656974</v>
      </c>
      <c r="O53">
        <f>J53/D53</f>
        <v>0.15873769424571718</v>
      </c>
      <c r="P53">
        <f t="shared" si="59"/>
        <v>-0.79931993235616372</v>
      </c>
      <c r="R53" s="4">
        <f>_xlfn.T.DIST.RT(E53*(G53-0.2),F53)</f>
        <v>4.1406109268523547E-3</v>
      </c>
      <c r="S53">
        <f>R53*M53</f>
        <v>1.5939275995319146E-2</v>
      </c>
      <c r="T53">
        <f>(1-R53)*P53</f>
        <v>-0.79601025951019888</v>
      </c>
      <c r="U53" s="2">
        <f>_xlfn.T.DIST.RT(E53*(G53-0.4),F53)</f>
        <v>6.8652447618704232E-2</v>
      </c>
      <c r="V53">
        <f>U53*M53</f>
        <v>0.26427750147985268</v>
      </c>
      <c r="W53">
        <f>(1-U53)*P53</f>
        <v>-0.74444466256949593</v>
      </c>
      <c r="X53" s="2">
        <f>_xlfn.T.DIST.RT(E53*(G53-0.8),F53)</f>
        <v>0.84128119050361572</v>
      </c>
      <c r="Y53">
        <f>X53*M53</f>
        <v>3.2385107709942402</v>
      </c>
      <c r="Z53">
        <f>(1-X53)*P53</f>
        <v>-0.12686710807030072</v>
      </c>
      <c r="AB53">
        <f>C53*M53</f>
        <v>4.5798023858065591E-4</v>
      </c>
      <c r="AC53">
        <f>D53*P53</f>
        <v>-0.79922483614476347</v>
      </c>
      <c r="AD53">
        <f>(C53+0.01)*M53</f>
        <v>3.8952966309237634E-2</v>
      </c>
      <c r="AE53">
        <f>(D53-0.01)*P53</f>
        <v>-0.79123163682120179</v>
      </c>
      <c r="AF53">
        <f>(C53+0.05)*M53</f>
        <v>0.19293291059186554</v>
      </c>
      <c r="AG53">
        <f>(D53-0.05)*P53</f>
        <v>-0.75925883952695528</v>
      </c>
      <c r="AH53">
        <f>(C53+0.1)*M53</f>
        <v>0.3854078409451504</v>
      </c>
      <c r="AI53">
        <f>(D53-0.1)*P53</f>
        <v>-0.71929284290914708</v>
      </c>
      <c r="AK53">
        <f t="shared" si="60"/>
        <v>-0.78007098351487969</v>
      </c>
      <c r="AL53">
        <f t="shared" si="61"/>
        <v>-0.48016716108964325</v>
      </c>
      <c r="AM53">
        <f t="shared" si="62"/>
        <v>3.1116436629239397</v>
      </c>
      <c r="AN53">
        <f t="shared" si="63"/>
        <v>-0.79876685590618279</v>
      </c>
      <c r="AO53">
        <f t="shared" si="64"/>
        <v>-0.75227867051196418</v>
      </c>
      <c r="AP53">
        <f t="shared" si="65"/>
        <v>-0.56632592893508971</v>
      </c>
      <c r="AQ53">
        <f t="shared" si="13"/>
        <v>-0.33388500196399667</v>
      </c>
    </row>
    <row r="54" spans="1:43" x14ac:dyDescent="0.3">
      <c r="A54">
        <v>40</v>
      </c>
      <c r="B54">
        <v>0.8</v>
      </c>
      <c r="C54">
        <v>1E-4</v>
      </c>
      <c r="D54">
        <f t="shared" si="58"/>
        <v>0.99990000000000001</v>
      </c>
      <c r="E54">
        <f t="shared" ref="E54:E70" si="100">SQRT(A54)</f>
        <v>6.324555320336759</v>
      </c>
      <c r="F54">
        <f t="shared" ref="F54:F70" si="101">A54-1</f>
        <v>39</v>
      </c>
      <c r="G54">
        <f t="shared" ref="G54:G70" si="102">-_xlfn.T.INV(C54,F54)/E54</f>
        <v>0.64900709181898564</v>
      </c>
      <c r="H54">
        <f t="shared" ref="H54:H70" si="103">G54-B54</f>
        <v>-0.15099290818101441</v>
      </c>
      <c r="I54" s="2">
        <f>_xlfn.T.DIST.RT(E54*H54,F54)</f>
        <v>0.82726073909107112</v>
      </c>
      <c r="J54">
        <f>1-I54</f>
        <v>0.17273926090892888</v>
      </c>
      <c r="L54">
        <f>I54/C54</f>
        <v>8272.6073909107108</v>
      </c>
      <c r="M54">
        <f t="shared" ref="M54:M70" si="104">LOG10(L54)</f>
        <v>3.9176424136653392</v>
      </c>
      <c r="O54">
        <f>J54/D54</f>
        <v>0.17275653656258513</v>
      </c>
      <c r="P54">
        <f t="shared" si="59"/>
        <v>-0.76256551130916095</v>
      </c>
      <c r="R54" s="4">
        <f>_xlfn.T.DIST.RT(E54*(G54-0.2),F54)</f>
        <v>3.5682837339249449E-3</v>
      </c>
      <c r="S54">
        <f>R54*M54</f>
        <v>1.397925970001649E-2</v>
      </c>
      <c r="T54">
        <f>(1-R54)*P54</f>
        <v>-0.75984446119910432</v>
      </c>
      <c r="U54" s="2">
        <f>_xlfn.T.DIST.RT(E54*(G54-0.4),F54)</f>
        <v>6.1683646856605476E-2</v>
      </c>
      <c r="V54">
        <f>U54*M54</f>
        <v>0.24165447115499228</v>
      </c>
      <c r="W54">
        <f>(1-U54)*P54</f>
        <v>-0.71552768960453994</v>
      </c>
      <c r="X54" s="2">
        <f>_xlfn.T.DIST.RT(E54*(G54-0.8),F54)</f>
        <v>0.82726073909107112</v>
      </c>
      <c r="Y54">
        <f>X54*M54</f>
        <v>3.2409117586233163</v>
      </c>
      <c r="Z54">
        <f>(1-X54)*P54</f>
        <v>-0.13172500281818392</v>
      </c>
      <c r="AB54">
        <f>C54*M54</f>
        <v>3.9176424136653392E-4</v>
      </c>
      <c r="AC54">
        <f>D54*P54</f>
        <v>-0.76248925475803009</v>
      </c>
      <c r="AD54">
        <f>(C54+0.01)*M54</f>
        <v>3.9568188378019925E-2</v>
      </c>
      <c r="AE54">
        <f>(D54-0.01)*P54</f>
        <v>-0.75486359964493843</v>
      </c>
      <c r="AF54">
        <f>(C54+0.05)*M54</f>
        <v>0.19627388492463352</v>
      </c>
      <c r="AG54">
        <f>(D54-0.05)*P54</f>
        <v>-0.72436097919257192</v>
      </c>
      <c r="AH54">
        <f>(C54+0.1)*M54</f>
        <v>0.39215600560790048</v>
      </c>
      <c r="AI54">
        <f>(D54-0.1)*P54</f>
        <v>-0.68623270362711397</v>
      </c>
      <c r="AK54">
        <f t="shared" si="60"/>
        <v>-0.74586520149908786</v>
      </c>
      <c r="AL54">
        <f t="shared" si="61"/>
        <v>-0.47387321844954766</v>
      </c>
      <c r="AM54">
        <f t="shared" si="62"/>
        <v>3.1091867558051325</v>
      </c>
      <c r="AN54">
        <f t="shared" si="63"/>
        <v>-0.76209749051666353</v>
      </c>
      <c r="AO54">
        <f t="shared" si="64"/>
        <v>-0.71529541126691853</v>
      </c>
      <c r="AP54">
        <f t="shared" si="65"/>
        <v>-0.52808709426793843</v>
      </c>
      <c r="AQ54">
        <f t="shared" si="13"/>
        <v>-0.29407669801921349</v>
      </c>
    </row>
    <row r="55" spans="1:43" x14ac:dyDescent="0.3">
      <c r="A55">
        <v>40</v>
      </c>
      <c r="B55">
        <v>0.8</v>
      </c>
      <c r="C55">
        <v>1.0000000000000001E-5</v>
      </c>
      <c r="D55">
        <f t="shared" si="58"/>
        <v>0.99999000000000005</v>
      </c>
      <c r="E55">
        <f t="shared" si="100"/>
        <v>6.324555320336759</v>
      </c>
      <c r="F55">
        <f t="shared" si="101"/>
        <v>39</v>
      </c>
      <c r="G55">
        <f t="shared" si="102"/>
        <v>0.76706016923266507</v>
      </c>
      <c r="H55">
        <f t="shared" si="103"/>
        <v>-3.2939830767334977E-2</v>
      </c>
      <c r="I55" s="2">
        <f>_xlfn.T.DIST.RT(E55*H55,F55)</f>
        <v>0.58197215704559857</v>
      </c>
      <c r="J55">
        <f>1-I55</f>
        <v>0.41802784295440143</v>
      </c>
      <c r="L55">
        <f>I55/C55</f>
        <v>58197.215704559851</v>
      </c>
      <c r="M55">
        <f t="shared" si="104"/>
        <v>4.7649022074493592</v>
      </c>
      <c r="O55">
        <f>J55/D55</f>
        <v>0.41803202327463418</v>
      </c>
      <c r="P55">
        <f t="shared" si="59"/>
        <v>-0.37879044789300209</v>
      </c>
      <c r="R55" s="4">
        <f>_xlfn.T.DIST.RT(E55*(G55-0.2),F55)</f>
        <v>4.61006563344459E-4</v>
      </c>
      <c r="S55">
        <f>R55*M55</f>
        <v>2.1966511913286556E-3</v>
      </c>
      <c r="T55">
        <f>(1-R55)*P55</f>
        <v>-0.37861582301039121</v>
      </c>
      <c r="U55" s="2">
        <f>_xlfn.T.DIST.RT(E55*(G55-0.4),F55)</f>
        <v>1.2787999111442253E-2</v>
      </c>
      <c r="V55">
        <f>U55*M55</f>
        <v>6.0933565194971631E-2</v>
      </c>
      <c r="W55">
        <f>(1-U55)*P55</f>
        <v>-0.3739464759819236</v>
      </c>
      <c r="X55" s="2">
        <f>_xlfn.T.DIST.RT(E55*(G55-0.8),F55)</f>
        <v>0.58197215704559857</v>
      </c>
      <c r="Y55">
        <f>X55*M55</f>
        <v>2.7730404157806379</v>
      </c>
      <c r="Z55">
        <f>(1-X55)*P55</f>
        <v>-0.15834495386444325</v>
      </c>
      <c r="AB55">
        <f>C55*M55</f>
        <v>4.7649022074493598E-5</v>
      </c>
      <c r="AC55">
        <f>D55*P55</f>
        <v>-0.37878665998852318</v>
      </c>
      <c r="AD55">
        <f>(C55+0.01)*M55</f>
        <v>4.7696671096568083E-2</v>
      </c>
      <c r="AE55">
        <f>(D55-0.01)*P55</f>
        <v>-0.37499875550959316</v>
      </c>
      <c r="AF55">
        <f>(C55+0.05)*M55</f>
        <v>0.23829275939454247</v>
      </c>
      <c r="AG55">
        <f>(D55-0.05)*P55</f>
        <v>-0.35984713759387305</v>
      </c>
      <c r="AH55">
        <f>(C55+0.1)*M55</f>
        <v>0.4765378697670104</v>
      </c>
      <c r="AI55">
        <f>(D55-0.1)*P55</f>
        <v>-0.34090761519922297</v>
      </c>
      <c r="AK55">
        <f t="shared" si="60"/>
        <v>-0.37641917181906254</v>
      </c>
      <c r="AL55">
        <f t="shared" si="61"/>
        <v>-0.31301291078695198</v>
      </c>
      <c r="AM55">
        <f t="shared" si="62"/>
        <v>2.6146954619161944</v>
      </c>
      <c r="AN55">
        <f t="shared" si="63"/>
        <v>-0.37873901096644869</v>
      </c>
      <c r="AO55">
        <f t="shared" si="64"/>
        <v>-0.32730208441302511</v>
      </c>
      <c r="AP55">
        <f t="shared" si="65"/>
        <v>-0.12155437819933057</v>
      </c>
      <c r="AQ55">
        <f t="shared" si="13"/>
        <v>0.13563025456778743</v>
      </c>
    </row>
    <row r="56" spans="1:43" x14ac:dyDescent="0.3">
      <c r="A56">
        <v>40</v>
      </c>
      <c r="B56">
        <v>0.8</v>
      </c>
      <c r="C56">
        <v>9.9999999999999995E-7</v>
      </c>
      <c r="D56">
        <f t="shared" si="58"/>
        <v>0.99999899999999997</v>
      </c>
      <c r="E56">
        <f t="shared" si="100"/>
        <v>6.324555320336759</v>
      </c>
      <c r="F56">
        <f t="shared" si="101"/>
        <v>39</v>
      </c>
      <c r="G56">
        <f t="shared" si="102"/>
        <v>0.88186186626487206</v>
      </c>
      <c r="H56">
        <f t="shared" si="103"/>
        <v>8.1861866264872019E-2</v>
      </c>
      <c r="I56" s="2">
        <f>_xlfn.T.DIST.RT(E56*H56,F56)</f>
        <v>0.30378218158447529</v>
      </c>
      <c r="J56">
        <f>1-I56</f>
        <v>0.69621781841552477</v>
      </c>
      <c r="L56">
        <f>I56/C56</f>
        <v>303782.18158447527</v>
      </c>
      <c r="M56">
        <f t="shared" si="104"/>
        <v>5.4825622966285312</v>
      </c>
      <c r="O56">
        <f>J56/D56</f>
        <v>0.69621851463403939</v>
      </c>
      <c r="P56">
        <f t="shared" si="59"/>
        <v>-0.15725443164569519</v>
      </c>
      <c r="R56" s="4">
        <f>_xlfn.T.DIST.RT(E56*(G56-0.2),F56)</f>
        <v>5.3206931503954448E-5</v>
      </c>
      <c r="S56">
        <f>R56*M56</f>
        <v>2.9171031658287746E-4</v>
      </c>
      <c r="T56">
        <f>(1-R56)*P56</f>
        <v>-0.15724606461992194</v>
      </c>
      <c r="U56" s="2">
        <f>_xlfn.T.DIST.RT(E56*(G56-0.4),F56)</f>
        <v>2.0638959369279042E-3</v>
      </c>
      <c r="V56">
        <f>U56*M56</f>
        <v>1.1315438047965745E-2</v>
      </c>
      <c r="W56">
        <f>(1-U56)*P56</f>
        <v>-0.15692987486315774</v>
      </c>
      <c r="X56" s="2">
        <f>_xlfn.T.DIST.RT(E56*(G56-0.8),F56)</f>
        <v>0.30378218158447529</v>
      </c>
      <c r="Y56">
        <f>X56*M56</f>
        <v>1.6655047351426064</v>
      </c>
      <c r="Z56">
        <f>(1-X56)*P56</f>
        <v>-0.10948333733653917</v>
      </c>
      <c r="AB56">
        <f>C56*M56</f>
        <v>5.4825622966285309E-6</v>
      </c>
      <c r="AC56">
        <f>D56*P56</f>
        <v>-0.15725427439126355</v>
      </c>
      <c r="AD56">
        <f>(C56+0.01)*M56</f>
        <v>5.483110552858194E-2</v>
      </c>
      <c r="AE56">
        <f>(D56-0.01)*P56</f>
        <v>-0.1556817300748066</v>
      </c>
      <c r="AF56">
        <f>(C56+0.05)*M56</f>
        <v>0.27413359739372323</v>
      </c>
      <c r="AG56">
        <f>(D56-0.05)*P56</f>
        <v>-0.14939155280897878</v>
      </c>
      <c r="AH56">
        <f>(C56+0.1)*M56</f>
        <v>0.54826171222514974</v>
      </c>
      <c r="AI56">
        <f>(D56-0.1)*P56</f>
        <v>-0.14152883122669402</v>
      </c>
      <c r="AK56">
        <f t="shared" si="60"/>
        <v>-0.15695435430333907</v>
      </c>
      <c r="AL56">
        <f t="shared" si="61"/>
        <v>-0.14561443681519198</v>
      </c>
      <c r="AM56">
        <f t="shared" si="62"/>
        <v>1.5560213978060673</v>
      </c>
      <c r="AN56">
        <f t="shared" si="63"/>
        <v>-0.15724879182896692</v>
      </c>
      <c r="AO56">
        <f t="shared" si="64"/>
        <v>-0.10085062454622465</v>
      </c>
      <c r="AP56">
        <f t="shared" si="65"/>
        <v>0.12474204458474444</v>
      </c>
      <c r="AQ56">
        <f t="shared" si="13"/>
        <v>0.40673288099845573</v>
      </c>
    </row>
    <row r="57" spans="1:43" x14ac:dyDescent="0.3">
      <c r="A57">
        <v>40</v>
      </c>
      <c r="B57">
        <v>0.8</v>
      </c>
      <c r="C57">
        <v>9.9999999999999995E-8</v>
      </c>
      <c r="D57">
        <f t="shared" si="58"/>
        <v>0.99999990000000005</v>
      </c>
      <c r="E57">
        <f t="shared" si="100"/>
        <v>6.324555320336759</v>
      </c>
      <c r="F57">
        <f t="shared" si="101"/>
        <v>39</v>
      </c>
      <c r="G57">
        <f t="shared" si="102"/>
        <v>0.99573764004556464</v>
      </c>
      <c r="H57">
        <f t="shared" si="103"/>
        <v>0.1957376400455646</v>
      </c>
      <c r="I57" s="2">
        <f>_xlfn.T.DIST.RT(E57*H57,F57)</f>
        <v>0.11156708793092708</v>
      </c>
      <c r="J57">
        <f>1-I57</f>
        <v>0.88843291206907293</v>
      </c>
      <c r="L57">
        <f>I57/C57</f>
        <v>1115670.8793092708</v>
      </c>
      <c r="M57">
        <f t="shared" si="104"/>
        <v>6.0475360974863221</v>
      </c>
      <c r="O57">
        <f>J57/D57</f>
        <v>0.88843300091237298</v>
      </c>
      <c r="P57">
        <f t="shared" si="59"/>
        <v>-5.1375317921904126E-2</v>
      </c>
      <c r="R57" s="4">
        <f>_xlfn.T.DIST.RT(E57*(G57-0.2),F57)</f>
        <v>5.6480588024308421E-6</v>
      </c>
      <c r="S57">
        <f>R57*M57</f>
        <v>3.4156839488425887E-5</v>
      </c>
      <c r="T57">
        <f>(1-R57)*P57</f>
        <v>-5.1375027751087508E-2</v>
      </c>
      <c r="U57" s="2">
        <f>_xlfn.T.DIST.RT(E57*(G57-0.4),F57)</f>
        <v>2.7230829694647893E-4</v>
      </c>
      <c r="V57">
        <f>U57*M57</f>
        <v>1.6467942554288558E-3</v>
      </c>
      <c r="W57">
        <f>(1-U57)*P57</f>
        <v>-5.136132799657573E-2</v>
      </c>
      <c r="X57" s="2">
        <f>_xlfn.T.DIST.RT(E57*(G57-0.8),F57)</f>
        <v>0.11156708793092708</v>
      </c>
      <c r="Y57">
        <f>X57*M57</f>
        <v>0.67470599155371214</v>
      </c>
      <c r="Z57">
        <f>(1-X57)*P57</f>
        <v>-4.5643523309831714E-2</v>
      </c>
      <c r="AB57">
        <f>C57*M57</f>
        <v>6.0475360974863215E-7</v>
      </c>
      <c r="AC57">
        <f>D57*P57</f>
        <v>-5.1375312784372337E-2</v>
      </c>
      <c r="AD57">
        <f>(C57+0.01)*M57</f>
        <v>6.0475965728472969E-2</v>
      </c>
      <c r="AE57">
        <f>(D57-0.01)*P57</f>
        <v>-5.0861559605153296E-2</v>
      </c>
      <c r="AF57">
        <f>(C57+0.05)*M57</f>
        <v>0.30237740962792586</v>
      </c>
      <c r="AG57">
        <f>(D57-0.05)*P57</f>
        <v>-4.8806546888277125E-2</v>
      </c>
      <c r="AH57">
        <f>(C57+0.1)*M57</f>
        <v>0.60475421450224198</v>
      </c>
      <c r="AI57">
        <f>(D57-0.1)*P57</f>
        <v>-4.6237780992181926E-2</v>
      </c>
      <c r="AK57">
        <f t="shared" si="60"/>
        <v>-5.1340870911599085E-2</v>
      </c>
      <c r="AL57">
        <f t="shared" si="61"/>
        <v>-4.9714533741146871E-2</v>
      </c>
      <c r="AM57">
        <f t="shared" si="62"/>
        <v>0.62906246824388046</v>
      </c>
      <c r="AN57">
        <f t="shared" si="63"/>
        <v>-5.1374708030762592E-2</v>
      </c>
      <c r="AO57">
        <f t="shared" si="64"/>
        <v>9.6144061233196729E-3</v>
      </c>
      <c r="AP57">
        <f t="shared" si="65"/>
        <v>0.25357086273964874</v>
      </c>
      <c r="AQ57">
        <f t="shared" si="13"/>
        <v>0.55851643351006008</v>
      </c>
    </row>
    <row r="58" spans="1:43" x14ac:dyDescent="0.3">
      <c r="A58">
        <v>80</v>
      </c>
      <c r="B58">
        <v>0.8</v>
      </c>
      <c r="C58">
        <v>0.5</v>
      </c>
      <c r="D58">
        <f t="shared" ref="D58:D72" si="105">1-C58</f>
        <v>0.5</v>
      </c>
      <c r="E58">
        <f t="shared" si="100"/>
        <v>8.9442719099991592</v>
      </c>
      <c r="F58">
        <f t="shared" si="101"/>
        <v>79</v>
      </c>
      <c r="G58">
        <f t="shared" si="102"/>
        <v>0</v>
      </c>
      <c r="H58">
        <f t="shared" si="103"/>
        <v>-0.8</v>
      </c>
      <c r="I58" s="2">
        <f>_xlfn.T.DIST.RT(E58*H58,F58)</f>
        <v>0.99999999981180487</v>
      </c>
      <c r="J58">
        <f>1-I58</f>
        <v>1.8819512614953737E-10</v>
      </c>
      <c r="L58">
        <f>I58/C58</f>
        <v>1.9999999996236097</v>
      </c>
      <c r="M58">
        <f t="shared" si="104"/>
        <v>0.30102999558224908</v>
      </c>
      <c r="O58">
        <f>J58/D58</f>
        <v>3.7639025229907475E-10</v>
      </c>
      <c r="P58">
        <f t="shared" ref="P58:P72" si="106">LOG10(O58)</f>
        <v>-9.4243616323955255</v>
      </c>
      <c r="R58" s="4">
        <f>_xlfn.T.DIST.RT(E58*(G58-0.2),F58)</f>
        <v>0.96126423894019108</v>
      </c>
      <c r="S58">
        <f>R58*M58</f>
        <v>0.28936936960153975</v>
      </c>
      <c r="T58">
        <f>(1-R58)*P58</f>
        <v>-0.36505982033370377</v>
      </c>
      <c r="U58" s="2">
        <f>_xlfn.T.DIST.RT(E58*(G58-0.4),F58)</f>
        <v>0.9997021053021008</v>
      </c>
      <c r="V58">
        <f>U58*M58</f>
        <v>0.3009403203426565</v>
      </c>
      <c r="W58">
        <f>(1-U58)*P58</f>
        <v>-2.8074673613753109E-3</v>
      </c>
      <c r="X58" s="2">
        <f>_xlfn.T.DIST.RT(E58*(G58-0.8),F58)</f>
        <v>0.99999999981180487</v>
      </c>
      <c r="Y58">
        <f>X58*M58</f>
        <v>0.30102999552559667</v>
      </c>
      <c r="Z58">
        <f>(1-X58)*P58</f>
        <v>-1.773618926287536E-9</v>
      </c>
      <c r="AB58">
        <f>C58*M58</f>
        <v>0.15051499779112454</v>
      </c>
      <c r="AC58">
        <f>D58*P58</f>
        <v>-4.7121808161977627</v>
      </c>
      <c r="AD58">
        <f>(C58+0.01)*M58</f>
        <v>0.15352529774694704</v>
      </c>
      <c r="AE58">
        <f>(D58-0.01)*P58</f>
        <v>-4.6179371998738077</v>
      </c>
      <c r="AF58">
        <f>(C58+0.05)*M58</f>
        <v>0.165566497570237</v>
      </c>
      <c r="AG58">
        <f>(D58-0.05)*P58</f>
        <v>-4.2409627345779866</v>
      </c>
      <c r="AH58">
        <f>(C58+0.1)*M58</f>
        <v>0.18061799734934944</v>
      </c>
      <c r="AI58">
        <f>(D58-0.1)*P58</f>
        <v>-3.7697446529582104</v>
      </c>
      <c r="AK58">
        <f t="shared" ref="AK58:AK72" si="107">S58+T58</f>
        <v>-7.5690450732164016E-2</v>
      </c>
      <c r="AL58">
        <f t="shared" ref="AL58:AL72" si="108">V58+W58</f>
        <v>0.29813285298128117</v>
      </c>
      <c r="AM58">
        <f t="shared" ref="AM58:AM72" si="109">Y58+Z58</f>
        <v>0.30102999375197775</v>
      </c>
      <c r="AN58">
        <f t="shared" ref="AN58:AN72" si="110">AB58+AC58</f>
        <v>-4.5616658184066381</v>
      </c>
      <c r="AO58">
        <f t="shared" ref="AO58:AO72" si="111">AD58+AE58</f>
        <v>-4.4644119021268605</v>
      </c>
      <c r="AP58">
        <f t="shared" ref="AP58:AP72" si="112">AF58+AG58</f>
        <v>-4.0753962370077499</v>
      </c>
      <c r="AQ58">
        <f t="shared" si="13"/>
        <v>-3.5891266556088608</v>
      </c>
    </row>
    <row r="59" spans="1:43" x14ac:dyDescent="0.3">
      <c r="A59">
        <v>80</v>
      </c>
      <c r="B59">
        <v>0.8</v>
      </c>
      <c r="C59">
        <v>0.2</v>
      </c>
      <c r="D59">
        <f t="shared" si="105"/>
        <v>0.8</v>
      </c>
      <c r="E59">
        <f t="shared" si="100"/>
        <v>8.9442719099991592</v>
      </c>
      <c r="F59">
        <f t="shared" si="101"/>
        <v>79</v>
      </c>
      <c r="G59">
        <f t="shared" si="102"/>
        <v>9.4607455925570433E-2</v>
      </c>
      <c r="H59">
        <f t="shared" si="103"/>
        <v>-0.70539254407442964</v>
      </c>
      <c r="I59" s="2">
        <f>_xlfn.T.DIST.RT(E59*H59,F59)</f>
        <v>0.99999999244546456</v>
      </c>
      <c r="J59">
        <f>1-I59</f>
        <v>7.554535441656185E-9</v>
      </c>
      <c r="L59">
        <f>I59/C59</f>
        <v>4.9999999622273226</v>
      </c>
      <c r="M59">
        <f t="shared" si="104"/>
        <v>0.69897000105512574</v>
      </c>
      <c r="O59">
        <f>J59/D59</f>
        <v>9.4431693020702312E-9</v>
      </c>
      <c r="P59">
        <f t="shared" si="106"/>
        <v>-8.0248822239857915</v>
      </c>
      <c r="R59" s="4">
        <f>_xlfn.T.DIST.RT(E59*(G59-0.2),F59)</f>
        <v>0.82563553447006699</v>
      </c>
      <c r="S59">
        <f>R59*M59</f>
        <v>0.57709447039969208</v>
      </c>
      <c r="T59">
        <f>(1-R59)*P59</f>
        <v>-1.3992542999259427</v>
      </c>
      <c r="U59" s="2">
        <f>_xlfn.T.DIST.RT(E59*(G59-0.4),F59)</f>
        <v>0.99611322463080243</v>
      </c>
      <c r="V59">
        <f>U59*M59</f>
        <v>0.69625326167121671</v>
      </c>
      <c r="W59">
        <f>(1-U59)*P59</f>
        <v>-3.1190914568899393E-2</v>
      </c>
      <c r="X59" s="2">
        <f>_xlfn.T.DIST.RT(E59*(G59-0.8),F59)</f>
        <v>0.99999999244546456</v>
      </c>
      <c r="Y59">
        <f>X59*M59</f>
        <v>0.69896999577473207</v>
      </c>
      <c r="Z59">
        <f>(1-X59)*P59</f>
        <v>-6.0624257176217363E-8</v>
      </c>
      <c r="AB59">
        <f>C59*M59</f>
        <v>0.13979400021102514</v>
      </c>
      <c r="AC59">
        <f>D59*P59</f>
        <v>-6.4199057791886336</v>
      </c>
      <c r="AD59">
        <f>(C59+0.01)*M59</f>
        <v>0.14678370022157641</v>
      </c>
      <c r="AE59">
        <f>(D59-0.01)*P59</f>
        <v>-6.339656956948776</v>
      </c>
      <c r="AF59">
        <f>(C59+0.05)*M59</f>
        <v>0.17474250026378144</v>
      </c>
      <c r="AG59">
        <f>(D59-0.05)*P59</f>
        <v>-6.0186616679893437</v>
      </c>
      <c r="AH59">
        <f>(C59+0.1)*M59</f>
        <v>0.20969100031653776</v>
      </c>
      <c r="AI59">
        <f>(D59-0.1)*P59</f>
        <v>-5.6174175567900546</v>
      </c>
      <c r="AK59">
        <f t="shared" si="107"/>
        <v>-0.82215982952625066</v>
      </c>
      <c r="AL59">
        <f t="shared" si="108"/>
        <v>0.66506234710231726</v>
      </c>
      <c r="AM59">
        <f t="shared" si="109"/>
        <v>0.6989699351504749</v>
      </c>
      <c r="AN59">
        <f t="shared" si="110"/>
        <v>-6.2801117789776084</v>
      </c>
      <c r="AO59">
        <f t="shared" si="111"/>
        <v>-6.1928732567271991</v>
      </c>
      <c r="AP59">
        <f t="shared" si="112"/>
        <v>-5.843919167725562</v>
      </c>
      <c r="AQ59">
        <f t="shared" ref="AQ59:AQ72" si="113">AH59+AI59</f>
        <v>-5.4077265564735164</v>
      </c>
    </row>
    <row r="60" spans="1:43" x14ac:dyDescent="0.3">
      <c r="A60">
        <v>80</v>
      </c>
      <c r="B60">
        <v>0.8</v>
      </c>
      <c r="C60">
        <v>0.1</v>
      </c>
      <c r="D60">
        <f t="shared" si="105"/>
        <v>0.9</v>
      </c>
      <c r="E60">
        <f t="shared" si="100"/>
        <v>8.9442719099991592</v>
      </c>
      <c r="F60">
        <f t="shared" si="101"/>
        <v>79</v>
      </c>
      <c r="G60">
        <f t="shared" si="102"/>
        <v>0.1444902213841083</v>
      </c>
      <c r="H60">
        <f t="shared" si="103"/>
        <v>-0.65550977861589177</v>
      </c>
      <c r="I60" s="2">
        <f>_xlfn.T.DIST.RT(E60*H60,F60)</f>
        <v>0.99999994975899653</v>
      </c>
      <c r="J60">
        <f>1-I60</f>
        <v>5.0241003468620704E-8</v>
      </c>
      <c r="L60">
        <f>I60/C60</f>
        <v>9.9999994975899646</v>
      </c>
      <c r="M60">
        <f t="shared" si="104"/>
        <v>0.99999997818060882</v>
      </c>
      <c r="O60">
        <f>J60/D60</f>
        <v>5.5823337187356337E-8</v>
      </c>
      <c r="P60">
        <f t="shared" si="106"/>
        <v>-7.2531842044161454</v>
      </c>
      <c r="R60" s="4">
        <f>_xlfn.T.DIST.RT(E60*(G60-0.2),F60)</f>
        <v>0.68953787476986084</v>
      </c>
      <c r="S60">
        <f>R60*M60</f>
        <v>0.68953785972456416</v>
      </c>
      <c r="T60">
        <f>(1-R60)*P60</f>
        <v>-2.2518389827887124</v>
      </c>
      <c r="U60" s="2">
        <f>_xlfn.T.DIST.RT(E60*(G60-0.4),F60)</f>
        <v>0.98751301086595211</v>
      </c>
      <c r="V60">
        <f>U60*M60</f>
        <v>0.98751298931901943</v>
      </c>
      <c r="W60">
        <f>(1-U60)*P60</f>
        <v>-9.0570432347792176E-2</v>
      </c>
      <c r="X60" s="2">
        <f>_xlfn.T.DIST.RT(E60*(G60-0.8),F60)</f>
        <v>0.99999994975899653</v>
      </c>
      <c r="Y60">
        <f>X60*M60</f>
        <v>0.99999992793960646</v>
      </c>
      <c r="Z60">
        <f>(1-X60)*P60</f>
        <v>-3.6440725277261645E-7</v>
      </c>
      <c r="AB60">
        <f>C60*M60</f>
        <v>9.999999781806089E-2</v>
      </c>
      <c r="AC60">
        <f>D60*P60</f>
        <v>-6.5278657839745309</v>
      </c>
      <c r="AD60">
        <f>(C60+0.01)*M60</f>
        <v>0.10999999759986696</v>
      </c>
      <c r="AE60">
        <f>(D60-0.01)*P60</f>
        <v>-6.4553339419303697</v>
      </c>
      <c r="AF60">
        <f>(C60+0.05)*M60</f>
        <v>0.14999999672709136</v>
      </c>
      <c r="AG60">
        <f>(D60-0.05)*P60</f>
        <v>-6.1652065737537232</v>
      </c>
      <c r="AH60">
        <f>(C60+0.1)*M60</f>
        <v>0.19999999563612178</v>
      </c>
      <c r="AI60">
        <f>(D60-0.1)*P60</f>
        <v>-5.8025473635329163</v>
      </c>
      <c r="AK60">
        <f t="shared" si="107"/>
        <v>-1.5623011230641484</v>
      </c>
      <c r="AL60">
        <f t="shared" si="108"/>
        <v>0.89694255697122727</v>
      </c>
      <c r="AM60">
        <f t="shared" si="109"/>
        <v>0.99999956353235364</v>
      </c>
      <c r="AN60">
        <f t="shared" si="110"/>
        <v>-6.4278657861564703</v>
      </c>
      <c r="AO60">
        <f t="shared" si="111"/>
        <v>-6.3453339443305028</v>
      </c>
      <c r="AP60">
        <f t="shared" si="112"/>
        <v>-6.0152065770266319</v>
      </c>
      <c r="AQ60">
        <f t="shared" si="113"/>
        <v>-5.6025473678967943</v>
      </c>
    </row>
    <row r="61" spans="1:43" x14ac:dyDescent="0.3">
      <c r="A61">
        <v>80</v>
      </c>
      <c r="B61">
        <v>0.8</v>
      </c>
      <c r="C61">
        <v>0.05</v>
      </c>
      <c r="D61">
        <f t="shared" si="105"/>
        <v>0.95</v>
      </c>
      <c r="E61">
        <f t="shared" si="100"/>
        <v>8.9442719099991592</v>
      </c>
      <c r="F61">
        <f t="shared" si="101"/>
        <v>79</v>
      </c>
      <c r="G61">
        <f t="shared" si="102"/>
        <v>0.18608238053182208</v>
      </c>
      <c r="H61">
        <f t="shared" si="103"/>
        <v>-0.61391761946817791</v>
      </c>
      <c r="I61" s="2">
        <f>_xlfn.T.DIST.RT(E61*H61,F61)</f>
        <v>0.99999976499253895</v>
      </c>
      <c r="J61">
        <f>1-I61</f>
        <v>2.3500746104687664E-7</v>
      </c>
      <c r="L61">
        <f>I61/C61</f>
        <v>19.999995299850777</v>
      </c>
      <c r="M61">
        <f t="shared" si="104"/>
        <v>1.3010298936015257</v>
      </c>
      <c r="O61">
        <f>J61/D61</f>
        <v>2.4737627478618593E-7</v>
      </c>
      <c r="P61">
        <f t="shared" si="106"/>
        <v>-6.6066419547615771</v>
      </c>
      <c r="R61" s="4">
        <f>_xlfn.T.DIST.RT(E61*(G61-0.2),F61)</f>
        <v>0.54937545628577333</v>
      </c>
      <c r="S61">
        <f>R61*M61</f>
        <v>0.71475389143876933</v>
      </c>
      <c r="T61">
        <f>(1-R61)*P61</f>
        <v>-2.9771150163477023</v>
      </c>
      <c r="U61" s="2">
        <f>_xlfn.T.DIST.RT(E61*(G61-0.4),F61)</f>
        <v>0.9703361335465408</v>
      </c>
      <c r="V61">
        <f>U61*M61</f>
        <v>1.2624363165857717</v>
      </c>
      <c r="W61">
        <f>(1-U61)*P61</f>
        <v>-0.19597854465186804</v>
      </c>
      <c r="X61" s="2">
        <f>_xlfn.T.DIST.RT(E61*(G61-0.8),F61)</f>
        <v>0.99999976499253895</v>
      </c>
      <c r="Y61">
        <f>X61*M61</f>
        <v>1.3010295878497937</v>
      </c>
      <c r="Z61">
        <f>(1-X61)*P61</f>
        <v>-1.5526101518342924E-6</v>
      </c>
      <c r="AB61">
        <f>C61*M61</f>
        <v>6.5051494680076288E-2</v>
      </c>
      <c r="AC61">
        <f>D61*P61</f>
        <v>-6.2763098570234979</v>
      </c>
      <c r="AD61">
        <f>(C61+0.01)*M61</f>
        <v>7.8061793616091543E-2</v>
      </c>
      <c r="AE61">
        <f>(D61-0.01)*P61</f>
        <v>-6.2102434374758824</v>
      </c>
      <c r="AF61">
        <f>(C61+0.05)*M61</f>
        <v>0.13010298936015258</v>
      </c>
      <c r="AG61">
        <f>(D61-0.05)*P61</f>
        <v>-5.9459777592854186</v>
      </c>
      <c r="AH61">
        <f>(C61+0.1)*M61</f>
        <v>0.19515448404022886</v>
      </c>
      <c r="AI61">
        <f>(D61-0.1)*P61</f>
        <v>-5.6156456615473402</v>
      </c>
      <c r="AK61">
        <f t="shared" si="107"/>
        <v>-2.2623611249089328</v>
      </c>
      <c r="AL61">
        <f t="shared" si="108"/>
        <v>1.0664577719339037</v>
      </c>
      <c r="AM61">
        <f t="shared" si="109"/>
        <v>1.3010280352396419</v>
      </c>
      <c r="AN61">
        <f t="shared" si="110"/>
        <v>-6.2112583623434219</v>
      </c>
      <c r="AO61">
        <f t="shared" si="111"/>
        <v>-6.1321816438597905</v>
      </c>
      <c r="AP61">
        <f t="shared" si="112"/>
        <v>-5.8158747699252658</v>
      </c>
      <c r="AQ61">
        <f t="shared" si="113"/>
        <v>-5.4204911775071114</v>
      </c>
    </row>
    <row r="62" spans="1:43" x14ac:dyDescent="0.3">
      <c r="A62">
        <v>80</v>
      </c>
      <c r="B62">
        <v>0.8</v>
      </c>
      <c r="C62">
        <v>0.02</v>
      </c>
      <c r="D62">
        <f t="shared" si="105"/>
        <v>0.98</v>
      </c>
      <c r="E62">
        <f t="shared" si="100"/>
        <v>8.9442719099991592</v>
      </c>
      <c r="F62">
        <f t="shared" si="101"/>
        <v>79</v>
      </c>
      <c r="G62">
        <f t="shared" si="102"/>
        <v>0.23346945954831927</v>
      </c>
      <c r="H62">
        <f t="shared" si="103"/>
        <v>-0.56653054045168072</v>
      </c>
      <c r="I62" s="2">
        <f>_xlfn.T.DIST.RT(E62*H62,F62)</f>
        <v>0.99999870310624472</v>
      </c>
      <c r="J62">
        <f>1-I62</f>
        <v>1.2968937552759741E-6</v>
      </c>
      <c r="L62">
        <f>I62/C62</f>
        <v>49.999935155312237</v>
      </c>
      <c r="M62">
        <f t="shared" si="104"/>
        <v>1.6989694411018521</v>
      </c>
      <c r="O62">
        <f>J62/D62</f>
        <v>1.3233609747714022E-6</v>
      </c>
      <c r="P62">
        <f t="shared" si="106"/>
        <v>-5.8783216766225523</v>
      </c>
      <c r="R62" s="4">
        <f>_xlfn.T.DIST.RT(E62*(G62-0.2),F62)</f>
        <v>0.38272579192123235</v>
      </c>
      <c r="S62">
        <f>R62*M62</f>
        <v>0.65023942479567987</v>
      </c>
      <c r="T62">
        <f>(1-R62)*P62</f>
        <v>-3.6285363577694398</v>
      </c>
      <c r="U62" s="2">
        <f>_xlfn.T.DIST.RT(E62*(G62-0.4),F62)</f>
        <v>0.92983058025273135</v>
      </c>
      <c r="V62">
        <f>U62*M62</f>
        <v>1.5797537412513938</v>
      </c>
      <c r="W62">
        <f>(1-U62)*P62</f>
        <v>-0.41247842113639588</v>
      </c>
      <c r="X62" s="2">
        <f>_xlfn.T.DIST.RT(E62*(G62-0.8),F62)</f>
        <v>0.99999870310624472</v>
      </c>
      <c r="Y62">
        <f>X62*M62</f>
        <v>1.6989672377189935</v>
      </c>
      <c r="Z62">
        <f>(1-X62)*P62</f>
        <v>-7.6235586739151823E-6</v>
      </c>
      <c r="AB62">
        <f>C62*M62</f>
        <v>3.3979388822037042E-2</v>
      </c>
      <c r="AC62">
        <f>D62*P62</f>
        <v>-5.7607552430901015</v>
      </c>
      <c r="AD62">
        <f>(C62+0.01)*M62</f>
        <v>5.0969083233055559E-2</v>
      </c>
      <c r="AE62">
        <f>(D62-0.01)*P62</f>
        <v>-5.701972026323876</v>
      </c>
      <c r="AF62">
        <f>(C62+0.05)*M62</f>
        <v>0.11892786087712966</v>
      </c>
      <c r="AG62">
        <f>(D62-0.05)*P62</f>
        <v>-5.4668391592589733</v>
      </c>
      <c r="AH62">
        <f>(C62+0.1)*M62</f>
        <v>0.20387633293222227</v>
      </c>
      <c r="AI62">
        <f>(D62-0.1)*P62</f>
        <v>-5.1729230754278461</v>
      </c>
      <c r="AK62">
        <f t="shared" si="107"/>
        <v>-2.9782969329737599</v>
      </c>
      <c r="AL62">
        <f t="shared" si="108"/>
        <v>1.1672753201149979</v>
      </c>
      <c r="AM62">
        <f t="shared" si="109"/>
        <v>1.6989596141603196</v>
      </c>
      <c r="AN62">
        <f t="shared" si="110"/>
        <v>-5.7267758542680642</v>
      </c>
      <c r="AO62">
        <f t="shared" si="111"/>
        <v>-5.6510029430908206</v>
      </c>
      <c r="AP62">
        <f t="shared" si="112"/>
        <v>-5.3479112983818435</v>
      </c>
      <c r="AQ62">
        <f t="shared" si="113"/>
        <v>-4.9690467424956237</v>
      </c>
    </row>
    <row r="63" spans="1:43" x14ac:dyDescent="0.3">
      <c r="A63">
        <v>80</v>
      </c>
      <c r="B63">
        <v>0.8</v>
      </c>
      <c r="C63">
        <v>0.01</v>
      </c>
      <c r="D63">
        <f t="shared" si="105"/>
        <v>0.99</v>
      </c>
      <c r="E63">
        <f t="shared" si="100"/>
        <v>8.9442719099991592</v>
      </c>
      <c r="F63">
        <f t="shared" si="101"/>
        <v>79</v>
      </c>
      <c r="G63">
        <f t="shared" si="102"/>
        <v>0.26547511310366589</v>
      </c>
      <c r="H63">
        <f t="shared" si="103"/>
        <v>-0.53452488689633415</v>
      </c>
      <c r="I63" s="2">
        <f>_xlfn.T.DIST.RT(E63*H63,F63)</f>
        <v>0.99999602933329834</v>
      </c>
      <c r="J63">
        <f>1-I63</f>
        <v>3.9706667016581321E-6</v>
      </c>
      <c r="L63">
        <f>I63/C63</f>
        <v>99.999602933329825</v>
      </c>
      <c r="M63">
        <f t="shared" si="104"/>
        <v>1.9999982755579384</v>
      </c>
      <c r="O63">
        <f>J63/D63</f>
        <v>4.0107744461193254E-6</v>
      </c>
      <c r="P63">
        <f t="shared" si="106"/>
        <v>-5.3967717607458763</v>
      </c>
      <c r="R63" s="4">
        <f>_xlfn.T.DIST.RT(E63*(G63-0.2),F63)</f>
        <v>0.27989767215356587</v>
      </c>
      <c r="S63">
        <f>R63*M63</f>
        <v>0.55979486163981296</v>
      </c>
      <c r="T63">
        <f>(1-R63)*P63</f>
        <v>-3.8862279077690047</v>
      </c>
      <c r="U63" s="2">
        <f>_xlfn.T.DIST.RT(E63*(G63-0.4),F63)</f>
        <v>0.88375907376923402</v>
      </c>
      <c r="V63">
        <f>U63*M63</f>
        <v>1.7675166235471489</v>
      </c>
      <c r="W63">
        <f>(1-U63)*P63</f>
        <v>-0.62732574812514241</v>
      </c>
      <c r="X63" s="2">
        <f>_xlfn.T.DIST.RT(E63*(G63-0.8),F63)</f>
        <v>0.99999602933329834</v>
      </c>
      <c r="Y63">
        <f>X63*M63</f>
        <v>1.9999903342313823</v>
      </c>
      <c r="Z63">
        <f>(1-X63)*P63</f>
        <v>-2.1428781926842579E-5</v>
      </c>
      <c r="AB63">
        <f>C63*M63</f>
        <v>1.9999982755579383E-2</v>
      </c>
      <c r="AC63">
        <f>D63*P63</f>
        <v>-5.3428040431384174</v>
      </c>
      <c r="AD63">
        <f>(C63+0.01)*M63</f>
        <v>3.9999965511158767E-2</v>
      </c>
      <c r="AE63">
        <f>(D63-0.01)*P63</f>
        <v>-5.2888363255309585</v>
      </c>
      <c r="AF63">
        <f>(C63+0.05)*M63</f>
        <v>0.11999989653347631</v>
      </c>
      <c r="AG63">
        <f>(D63-0.05)*P63</f>
        <v>-5.0729654551011238</v>
      </c>
      <c r="AH63">
        <f>(C63+0.1)*M63</f>
        <v>0.21999981031137322</v>
      </c>
      <c r="AI63">
        <f>(D63-0.1)*P63</f>
        <v>-4.8031268670638303</v>
      </c>
      <c r="AK63">
        <f t="shared" si="107"/>
        <v>-3.3264330461291918</v>
      </c>
      <c r="AL63">
        <f t="shared" si="108"/>
        <v>1.1401908754220065</v>
      </c>
      <c r="AM63">
        <f t="shared" si="109"/>
        <v>1.9999689054494554</v>
      </c>
      <c r="AN63">
        <f t="shared" si="110"/>
        <v>-5.3228040603828379</v>
      </c>
      <c r="AO63">
        <f t="shared" si="111"/>
        <v>-5.2488363600197996</v>
      </c>
      <c r="AP63">
        <f t="shared" si="112"/>
        <v>-4.952965558567648</v>
      </c>
      <c r="AQ63">
        <f t="shared" si="113"/>
        <v>-4.5831270567524571</v>
      </c>
    </row>
    <row r="64" spans="1:43" x14ac:dyDescent="0.3">
      <c r="A64">
        <v>80</v>
      </c>
      <c r="B64">
        <v>0.8</v>
      </c>
      <c r="C64">
        <v>5.0000000000000001E-3</v>
      </c>
      <c r="D64">
        <f t="shared" ref="D64" si="114">1-C64</f>
        <v>0.995</v>
      </c>
      <c r="E64">
        <f t="shared" ref="E64" si="115">SQRT(A64)</f>
        <v>8.9442719099991592</v>
      </c>
      <c r="F64">
        <f t="shared" ref="F64" si="116">A64-1</f>
        <v>79</v>
      </c>
      <c r="G64">
        <f t="shared" ref="G64" si="117">-_xlfn.T.INV(C64,F64)/E64</f>
        <v>0.29510558869553288</v>
      </c>
      <c r="H64">
        <f t="shared" ref="H64" si="118">G64-B64</f>
        <v>-0.50489441130446711</v>
      </c>
      <c r="I64" s="2">
        <f>_xlfn.T.DIST.RT(E64*H64,F64)</f>
        <v>0.9999891228097928</v>
      </c>
      <c r="J64">
        <f>1-I64</f>
        <v>1.0877190207203569E-5</v>
      </c>
      <c r="L64">
        <f>I64/C64</f>
        <v>199.99782456195857</v>
      </c>
      <c r="M64">
        <f t="shared" ref="M64" si="119">LOG10(L64)</f>
        <v>2.3010252717346038</v>
      </c>
      <c r="O64">
        <f>J64/D64</f>
        <v>1.0931849454475948E-5</v>
      </c>
      <c r="P64">
        <f t="shared" ref="P64" si="120">LOG10(O64)</f>
        <v>-4.9613063577276897</v>
      </c>
      <c r="R64" s="4">
        <f>_xlfn.T.DIST.RT(E64*(G64-0.2),F64)</f>
        <v>0.19876730149623623</v>
      </c>
      <c r="S64">
        <f>R64*M64</f>
        <v>0.45736858393733087</v>
      </c>
      <c r="T64">
        <f>(1-R64)*P64</f>
        <v>-3.9751608811060364</v>
      </c>
      <c r="U64" s="2">
        <f>_xlfn.T.DIST.RT(E64*(G64-0.4),F64)</f>
        <v>0.82450045113418846</v>
      </c>
      <c r="V64">
        <f>U64*M64</f>
        <v>1.8971963746163494</v>
      </c>
      <c r="W64">
        <f>(1-U64)*P64</f>
        <v>-0.87070702756629215</v>
      </c>
      <c r="X64" s="2">
        <f>_xlfn.T.DIST.RT(E64*(G64-0.8),F64)</f>
        <v>0.9999891228097928</v>
      </c>
      <c r="Y64">
        <f>X64*M64</f>
        <v>2.3010002430450514</v>
      </c>
      <c r="Z64">
        <f>(1-X64)*P64</f>
        <v>-5.3965072929212429E-5</v>
      </c>
      <c r="AB64">
        <f>C64*M64</f>
        <v>1.1505126358673019E-2</v>
      </c>
      <c r="AC64">
        <f>D64*P64</f>
        <v>-4.9364998259390509</v>
      </c>
      <c r="AD64">
        <f>(C64+0.01)*M64</f>
        <v>3.4515379076019058E-2</v>
      </c>
      <c r="AE64">
        <f>(D64-0.01)*P64</f>
        <v>-4.8868867623617742</v>
      </c>
      <c r="AF64">
        <f>(C64+0.05)*M64</f>
        <v>0.12655638994540322</v>
      </c>
      <c r="AG64">
        <f>(D64-0.05)*P64</f>
        <v>-4.6884345080526666</v>
      </c>
      <c r="AH64">
        <f>(C64+0.1)*M64</f>
        <v>0.24160765353213343</v>
      </c>
      <c r="AI64">
        <f>(D64-0.1)*P64</f>
        <v>-4.4403691901662823</v>
      </c>
      <c r="AK64">
        <f t="shared" ref="AK64" si="121">S64+T64</f>
        <v>-3.5177922971687057</v>
      </c>
      <c r="AL64">
        <f t="shared" ref="AL64" si="122">V64+W64</f>
        <v>1.0264893470500573</v>
      </c>
      <c r="AM64">
        <f t="shared" ref="AM64" si="123">Y64+Z64</f>
        <v>2.3009462779721219</v>
      </c>
      <c r="AN64">
        <f t="shared" ref="AN64" si="124">AB64+AC64</f>
        <v>-4.9249946995803775</v>
      </c>
      <c r="AO64">
        <f t="shared" ref="AO64" si="125">AD64+AE64</f>
        <v>-4.8523713832857549</v>
      </c>
      <c r="AP64">
        <f t="shared" ref="AP64" si="126">AF64+AG64</f>
        <v>-4.5618781181072636</v>
      </c>
      <c r="AQ64">
        <f t="shared" ref="AQ64" si="127">AH64+AI64</f>
        <v>-4.1987615366341489</v>
      </c>
    </row>
    <row r="65" spans="1:43" x14ac:dyDescent="0.3">
      <c r="A65">
        <v>80</v>
      </c>
      <c r="B65">
        <v>0.8</v>
      </c>
      <c r="C65">
        <v>2E-3</v>
      </c>
      <c r="D65">
        <f t="shared" si="105"/>
        <v>0.998</v>
      </c>
      <c r="E65">
        <f t="shared" si="100"/>
        <v>8.9442719099991592</v>
      </c>
      <c r="F65">
        <f t="shared" si="101"/>
        <v>79</v>
      </c>
      <c r="G65">
        <f t="shared" si="102"/>
        <v>0.33150462027219829</v>
      </c>
      <c r="H65">
        <f t="shared" si="103"/>
        <v>-0.46849537972780175</v>
      </c>
      <c r="I65" s="2">
        <f>_xlfn.T.DIST.RT(E65*H65,F65)</f>
        <v>0.99996399855262685</v>
      </c>
      <c r="J65">
        <f>1-I65</f>
        <v>3.6001447373146256E-5</v>
      </c>
      <c r="L65">
        <f>I65/C65</f>
        <v>499.98199927631339</v>
      </c>
      <c r="M65">
        <f t="shared" si="104"/>
        <v>2.6989543688246318</v>
      </c>
      <c r="O65">
        <f>J65/D65</f>
        <v>3.6073594562270801E-5</v>
      </c>
      <c r="P65">
        <f t="shared" si="106"/>
        <v>-4.4428105801441138</v>
      </c>
      <c r="R65" s="4">
        <f>_xlfn.T.DIST.RT(E65*(G65-0.2),F65)</f>
        <v>0.1215209892278304</v>
      </c>
      <c r="S65">
        <f>R65*M65</f>
        <v>0.32797960478034388</v>
      </c>
      <c r="T65">
        <f>(1-R65)*P65</f>
        <v>-3.9029158434931301</v>
      </c>
      <c r="U65" s="2">
        <f>_xlfn.T.DIST.RT(E65*(G65-0.4),F65)</f>
        <v>0.72906344571950177</v>
      </c>
      <c r="V65">
        <f>U65*M65</f>
        <v>1.9677089719749892</v>
      </c>
      <c r="W65">
        <f>(1-U65)*P65</f>
        <v>-1.2037197899051875</v>
      </c>
      <c r="X65" s="2">
        <f>_xlfn.T.DIST.RT(E65*(G65-0.8),F65)</f>
        <v>0.99996399855262685</v>
      </c>
      <c r="Y65">
        <f>X65*M65</f>
        <v>2.6988572025609598</v>
      </c>
      <c r="Z65">
        <f>(1-X65)*P65</f>
        <v>-1.599476112899157E-4</v>
      </c>
      <c r="AB65">
        <f>C65*M65</f>
        <v>5.3979087376492636E-3</v>
      </c>
      <c r="AC65">
        <f>D65*P65</f>
        <v>-4.4339249589838259</v>
      </c>
      <c r="AD65">
        <f>(C65+0.01)*M65</f>
        <v>3.238745242589558E-2</v>
      </c>
      <c r="AE65">
        <f>(D65-0.01)*P65</f>
        <v>-4.3894968531823846</v>
      </c>
      <c r="AF65">
        <f>(C65+0.05)*M65</f>
        <v>0.14034562717888086</v>
      </c>
      <c r="AG65">
        <f>(D65-0.05)*P65</f>
        <v>-4.2117844299766194</v>
      </c>
      <c r="AH65">
        <f>(C65+0.1)*M65</f>
        <v>0.27529334562011248</v>
      </c>
      <c r="AI65">
        <f>(D65-0.1)*P65</f>
        <v>-3.9896439009694142</v>
      </c>
      <c r="AK65">
        <f t="shared" si="107"/>
        <v>-3.5749362387127861</v>
      </c>
      <c r="AL65">
        <f t="shared" si="108"/>
        <v>0.76398918206980171</v>
      </c>
      <c r="AM65">
        <f t="shared" si="109"/>
        <v>2.6986972549496699</v>
      </c>
      <c r="AN65">
        <f t="shared" si="110"/>
        <v>-4.4285270502461769</v>
      </c>
      <c r="AO65">
        <f t="shared" si="111"/>
        <v>-4.3571094007564888</v>
      </c>
      <c r="AP65">
        <f t="shared" si="112"/>
        <v>-4.0714388027977382</v>
      </c>
      <c r="AQ65">
        <f t="shared" si="113"/>
        <v>-3.7143505553493017</v>
      </c>
    </row>
    <row r="66" spans="1:43" x14ac:dyDescent="0.3">
      <c r="A66">
        <v>80</v>
      </c>
      <c r="B66">
        <v>0.8</v>
      </c>
      <c r="C66">
        <v>1E-3</v>
      </c>
      <c r="D66">
        <f t="shared" si="105"/>
        <v>0.999</v>
      </c>
      <c r="E66">
        <f t="shared" si="100"/>
        <v>8.9442719099991592</v>
      </c>
      <c r="F66">
        <f t="shared" si="101"/>
        <v>79</v>
      </c>
      <c r="G66">
        <f t="shared" si="102"/>
        <v>0.35739392409638454</v>
      </c>
      <c r="H66">
        <f t="shared" si="103"/>
        <v>-0.4426060759036155</v>
      </c>
      <c r="I66" s="2">
        <f>_xlfn.T.DIST.RT(E66*H66,F66)</f>
        <v>0.99991815646067739</v>
      </c>
      <c r="J66">
        <f>1-I66</f>
        <v>8.1843539322612457E-5</v>
      </c>
      <c r="L66">
        <f>I66/C66</f>
        <v>999.91815646067732</v>
      </c>
      <c r="M66">
        <f t="shared" si="104"/>
        <v>2.9999644543478818</v>
      </c>
      <c r="O66">
        <f>J66/D66</f>
        <v>8.1925464787399851E-5</v>
      </c>
      <c r="P66">
        <f t="shared" si="106"/>
        <v>-4.0865810860575129</v>
      </c>
      <c r="R66" s="4">
        <f>_xlfn.T.DIST.RT(E66*(G66-0.2),F66)</f>
        <v>8.1560417582076619E-2</v>
      </c>
      <c r="S66">
        <f>R66*M66</f>
        <v>0.24467835362799986</v>
      </c>
      <c r="T66">
        <f>(1-R66)*P66</f>
        <v>-3.7532778261956459</v>
      </c>
      <c r="U66" s="2">
        <f>_xlfn.T.DIST.RT(E66*(G66-0.4),F66)</f>
        <v>0.64791671828733521</v>
      </c>
      <c r="V66">
        <f>U66*M66</f>
        <v>1.9437271242397358</v>
      </c>
      <c r="W66">
        <f>(1-U66)*P66</f>
        <v>-1.4388168797640348</v>
      </c>
      <c r="X66" s="2">
        <f>_xlfn.T.DIST.RT(E66*(G66-0.8),F66)</f>
        <v>0.99991815646067739</v>
      </c>
      <c r="Y66">
        <f>X66*M66</f>
        <v>2.9997189266390958</v>
      </c>
      <c r="Z66">
        <f>(1-X66)*P66</f>
        <v>-3.3446025981179238E-4</v>
      </c>
      <c r="AB66">
        <f>C66*M66</f>
        <v>2.9999644543478817E-3</v>
      </c>
      <c r="AC66">
        <f>D66*P66</f>
        <v>-4.0824945049714554</v>
      </c>
      <c r="AD66">
        <f>(C66+0.01)*M66</f>
        <v>3.2999608997826696E-2</v>
      </c>
      <c r="AE66">
        <f>(D66-0.01)*P66</f>
        <v>-4.0416286941108801</v>
      </c>
      <c r="AF66">
        <f>(C66+0.05)*M66</f>
        <v>0.15299818717174199</v>
      </c>
      <c r="AG66">
        <f>(D66-0.05)*P66</f>
        <v>-3.8781654506685794</v>
      </c>
      <c r="AH66">
        <f>(C66+0.1)*M66</f>
        <v>0.30299640988913606</v>
      </c>
      <c r="AI66">
        <f>(D66-0.1)*P66</f>
        <v>-3.6738363963657044</v>
      </c>
      <c r="AK66">
        <f t="shared" si="107"/>
        <v>-3.5085994725676461</v>
      </c>
      <c r="AL66">
        <f t="shared" si="108"/>
        <v>0.50491024447570099</v>
      </c>
      <c r="AM66">
        <f t="shared" si="109"/>
        <v>2.9993844663792841</v>
      </c>
      <c r="AN66">
        <f t="shared" si="110"/>
        <v>-4.0794945405171079</v>
      </c>
      <c r="AO66">
        <f t="shared" si="111"/>
        <v>-4.0086290851130535</v>
      </c>
      <c r="AP66">
        <f t="shared" si="112"/>
        <v>-3.7251672634968376</v>
      </c>
      <c r="AQ66">
        <f t="shared" si="113"/>
        <v>-3.3708399864765681</v>
      </c>
    </row>
    <row r="67" spans="1:43" x14ac:dyDescent="0.3">
      <c r="A67">
        <v>80</v>
      </c>
      <c r="B67">
        <v>0.8</v>
      </c>
      <c r="C67">
        <v>1E-4</v>
      </c>
      <c r="D67">
        <f t="shared" si="105"/>
        <v>0.99990000000000001</v>
      </c>
      <c r="E67">
        <f t="shared" si="100"/>
        <v>8.9442719099991592</v>
      </c>
      <c r="F67">
        <f t="shared" si="101"/>
        <v>79</v>
      </c>
      <c r="G67">
        <f t="shared" si="102"/>
        <v>0.43615967689312535</v>
      </c>
      <c r="H67">
        <f t="shared" si="103"/>
        <v>-0.3638403231068747</v>
      </c>
      <c r="I67" s="2">
        <f>_xlfn.T.DIST.RT(E67*H67,F67)</f>
        <v>0.99916283414932805</v>
      </c>
      <c r="J67">
        <f>1-I67</f>
        <v>8.3716585067195037E-4</v>
      </c>
      <c r="L67">
        <f>I67/C67</f>
        <v>9991.6283414932805</v>
      </c>
      <c r="M67">
        <f t="shared" si="104"/>
        <v>3.9996362712187059</v>
      </c>
      <c r="O67">
        <f>J67/D67</f>
        <v>8.3724957562951333E-4</v>
      </c>
      <c r="P67">
        <f t="shared" si="106"/>
        <v>-3.077145063915665</v>
      </c>
      <c r="R67" s="4">
        <f>_xlfn.T.DIST.RT(E67*(G67-0.2),F67)</f>
        <v>1.8910955015420738E-2</v>
      </c>
      <c r="S67">
        <f>R67*M67</f>
        <v>7.5636941603062086E-2</v>
      </c>
      <c r="T67">
        <f>(1-R67)*P67</f>
        <v>-3.0189533120360319</v>
      </c>
      <c r="U67" s="2">
        <f>_xlfn.T.DIST.RT(E67*(G67-0.4),F67)</f>
        <v>0.37361513705236638</v>
      </c>
      <c r="V67">
        <f>U67*M67</f>
        <v>1.4943246536309924</v>
      </c>
      <c r="W67">
        <f>(1-U67)*P67</f>
        <v>-1.9274770891308011</v>
      </c>
      <c r="X67" s="2">
        <f>_xlfn.T.DIST.RT(E67*(G67-0.8),F67)</f>
        <v>0.99916283414932805</v>
      </c>
      <c r="Y67">
        <f>X67*M67</f>
        <v>3.9962879123173325</v>
      </c>
      <c r="Z67">
        <f>(1-X67)*P67</f>
        <v>-2.5760807650739509E-3</v>
      </c>
      <c r="AB67">
        <f>C67*M67</f>
        <v>3.9996362712187063E-4</v>
      </c>
      <c r="AC67">
        <f>D67*P67</f>
        <v>-3.0768373494092733</v>
      </c>
      <c r="AD67">
        <f>(C67+0.01)*M67</f>
        <v>4.0396326339308931E-2</v>
      </c>
      <c r="AE67">
        <f>(D67-0.01)*P67</f>
        <v>-3.0460658987701166</v>
      </c>
      <c r="AF67">
        <f>(C67+0.05)*M67</f>
        <v>0.20038177718805719</v>
      </c>
      <c r="AG67">
        <f>(D67-0.05)*P67</f>
        <v>-2.92298009621349</v>
      </c>
      <c r="AH67">
        <f>(C67+0.1)*M67</f>
        <v>0.40036359074899247</v>
      </c>
      <c r="AI67">
        <f>(D67-0.1)*P67</f>
        <v>-2.7691228430177071</v>
      </c>
      <c r="AK67">
        <f t="shared" si="107"/>
        <v>-2.9433163704329699</v>
      </c>
      <c r="AL67">
        <f t="shared" si="108"/>
        <v>-0.43315243549980864</v>
      </c>
      <c r="AM67">
        <f t="shared" si="109"/>
        <v>3.9937118315522584</v>
      </c>
      <c r="AN67">
        <f t="shared" si="110"/>
        <v>-3.0764373857821514</v>
      </c>
      <c r="AO67">
        <f t="shared" si="111"/>
        <v>-3.0056695724308078</v>
      </c>
      <c r="AP67">
        <f t="shared" si="112"/>
        <v>-2.7225983190254328</v>
      </c>
      <c r="AQ67">
        <f t="shared" si="113"/>
        <v>-2.3687592522687146</v>
      </c>
    </row>
    <row r="68" spans="1:43" x14ac:dyDescent="0.3">
      <c r="A68">
        <v>80</v>
      </c>
      <c r="B68">
        <v>0.8</v>
      </c>
      <c r="C68">
        <v>1.0000000000000001E-5</v>
      </c>
      <c r="D68">
        <f t="shared" si="105"/>
        <v>0.99999000000000005</v>
      </c>
      <c r="E68">
        <f t="shared" si="100"/>
        <v>8.9442719099991592</v>
      </c>
      <c r="F68">
        <f t="shared" si="101"/>
        <v>79</v>
      </c>
      <c r="G68">
        <f t="shared" si="102"/>
        <v>0.50739951148686702</v>
      </c>
      <c r="H68">
        <f t="shared" si="103"/>
        <v>-0.29260048851313303</v>
      </c>
      <c r="I68" s="2">
        <f>_xlfn.T.DIST.RT(E68*H68,F68)</f>
        <v>0.994688327262647</v>
      </c>
      <c r="J68">
        <f>1-I68</f>
        <v>5.3116727373530015E-3</v>
      </c>
      <c r="L68">
        <f>I68/C68</f>
        <v>99468.832726264693</v>
      </c>
      <c r="M68">
        <f t="shared" si="104"/>
        <v>4.9976870214953948</v>
      </c>
      <c r="O68">
        <f>J68/D68</f>
        <v>5.3117258546115471E-3</v>
      </c>
      <c r="P68">
        <f t="shared" si="106"/>
        <v>-2.2747643475899282</v>
      </c>
      <c r="R68" s="4">
        <f>_xlfn.T.DIST.RT(E68*(G68-0.2),F68)</f>
        <v>3.6979638051966813E-3</v>
      </c>
      <c r="S68">
        <f>R68*M68</f>
        <v>1.8481265715191177E-2</v>
      </c>
      <c r="T68">
        <f>(1-R68)*P68</f>
        <v>-2.2663523513671886</v>
      </c>
      <c r="U68" s="2">
        <f>_xlfn.T.DIST.RT(E68*(G68-0.4),F68)</f>
        <v>0.16983951709416961</v>
      </c>
      <c r="V68">
        <f>U68*M68</f>
        <v>0.84880475031857672</v>
      </c>
      <c r="W68">
        <f>(1-U68)*P68</f>
        <v>-1.8884194692922212</v>
      </c>
      <c r="X68" s="2">
        <f>_xlfn.T.DIST.RT(E68*(G68-0.8),F68)</f>
        <v>0.994688327262647</v>
      </c>
      <c r="Y68">
        <f>X68*M68</f>
        <v>4.971140943593495</v>
      </c>
      <c r="Z68">
        <f>(1-X68)*P68</f>
        <v>-1.2082803768996009E-2</v>
      </c>
      <c r="AB68">
        <f>C68*M68</f>
        <v>4.9976870214953954E-5</v>
      </c>
      <c r="AC68">
        <f>D68*P68</f>
        <v>-2.2747415999464522</v>
      </c>
      <c r="AD68">
        <f>(C68+0.01)*M68</f>
        <v>5.0026847085168899E-2</v>
      </c>
      <c r="AE68">
        <f>(D68-0.01)*P68</f>
        <v>-2.2519939564705531</v>
      </c>
      <c r="AF68">
        <f>(C68+0.05)*M68</f>
        <v>0.24993432794498471</v>
      </c>
      <c r="AG68">
        <f>(D68-0.05)*P68</f>
        <v>-2.1610033825669559</v>
      </c>
      <c r="AH68">
        <f>(C68+0.1)*M68</f>
        <v>0.49981867901975446</v>
      </c>
      <c r="AI68">
        <f>(D68-0.1)*P68</f>
        <v>-2.0472651651874596</v>
      </c>
      <c r="AK68">
        <f t="shared" si="107"/>
        <v>-2.2478710856519974</v>
      </c>
      <c r="AL68">
        <f t="shared" si="108"/>
        <v>-1.0396147189736444</v>
      </c>
      <c r="AM68">
        <f t="shared" si="109"/>
        <v>4.9590581398244993</v>
      </c>
      <c r="AN68">
        <f t="shared" si="110"/>
        <v>-2.2746916230762371</v>
      </c>
      <c r="AO68">
        <f t="shared" si="111"/>
        <v>-2.2019671093853841</v>
      </c>
      <c r="AP68">
        <f t="shared" si="112"/>
        <v>-1.9110690546219713</v>
      </c>
      <c r="AQ68">
        <f t="shared" si="113"/>
        <v>-1.5474464861677051</v>
      </c>
    </row>
    <row r="69" spans="1:43" x14ac:dyDescent="0.3">
      <c r="A69">
        <v>80</v>
      </c>
      <c r="B69">
        <v>0.8</v>
      </c>
      <c r="C69">
        <v>9.9999999999999995E-7</v>
      </c>
      <c r="D69">
        <f t="shared" si="105"/>
        <v>0.99999899999999997</v>
      </c>
      <c r="E69">
        <f t="shared" si="100"/>
        <v>8.9442719099991592</v>
      </c>
      <c r="F69">
        <f t="shared" si="101"/>
        <v>79</v>
      </c>
      <c r="G69">
        <f t="shared" si="102"/>
        <v>0.57384879317342374</v>
      </c>
      <c r="H69">
        <f t="shared" si="103"/>
        <v>-0.2261512068265763</v>
      </c>
      <c r="I69" s="2">
        <f>_xlfn.T.DIST.RT(E69*H69,F69)</f>
        <v>0.97675921324693671</v>
      </c>
      <c r="J69">
        <f>1-I69</f>
        <v>2.3240786753063292E-2</v>
      </c>
      <c r="L69">
        <f>I69/C69</f>
        <v>976759.21324693679</v>
      </c>
      <c r="M69">
        <f t="shared" si="104"/>
        <v>5.989787516383573</v>
      </c>
      <c r="O69">
        <f>J69/D69</f>
        <v>2.3240809993873287E-2</v>
      </c>
      <c r="P69">
        <f t="shared" si="106"/>
        <v>-1.6337487398901669</v>
      </c>
      <c r="R69" s="4">
        <f>_xlfn.T.DIST.RT(E69*(G69-0.2),F69)</f>
        <v>6.3278274184156704E-4</v>
      </c>
      <c r="S69">
        <f>R69*M69</f>
        <v>3.7902341676655875E-3</v>
      </c>
      <c r="T69">
        <f>(1-R69)*P69</f>
        <v>-1.6327149318830589</v>
      </c>
      <c r="U69" s="2">
        <f>_xlfn.T.DIST.RT(E69*(G69-0.4),F69)</f>
        <v>6.1977508662955864E-2</v>
      </c>
      <c r="V69">
        <f>U69*M69</f>
        <v>0.37123210768592779</v>
      </c>
      <c r="W69">
        <f>(1-U69)*P69</f>
        <v>-1.5324930632105309</v>
      </c>
      <c r="X69" s="2">
        <f>_xlfn.T.DIST.RT(E69*(G69-0.8),F69)</f>
        <v>0.97675921324693671</v>
      </c>
      <c r="Y69">
        <f>X69*M69</f>
        <v>5.8505801420191421</v>
      </c>
      <c r="Z69">
        <f>(1-X69)*P69</f>
        <v>-3.7969606071873233E-2</v>
      </c>
      <c r="AB69">
        <f>C69*M69</f>
        <v>5.9897875163835728E-6</v>
      </c>
      <c r="AC69">
        <f>D69*P69</f>
        <v>-1.633747106141427</v>
      </c>
      <c r="AD69">
        <f>(C69+0.01)*M69</f>
        <v>5.9903864951352109E-2</v>
      </c>
      <c r="AE69">
        <f>(D69-0.01)*P69</f>
        <v>-1.6174096187425253</v>
      </c>
      <c r="AF69">
        <f>(C69+0.05)*M69</f>
        <v>0.29949536560669504</v>
      </c>
      <c r="AG69">
        <f>(D69-0.05)*P69</f>
        <v>-1.5520596691469186</v>
      </c>
      <c r="AH69">
        <f>(C69+0.1)*M69</f>
        <v>0.59898474142587377</v>
      </c>
      <c r="AI69">
        <f>(D69-0.1)*P69</f>
        <v>-1.4703722321524102</v>
      </c>
      <c r="AK69">
        <f t="shared" si="107"/>
        <v>-1.6289246977153933</v>
      </c>
      <c r="AL69">
        <f t="shared" si="108"/>
        <v>-1.1612609555246032</v>
      </c>
      <c r="AM69">
        <f t="shared" si="109"/>
        <v>5.8126105359472691</v>
      </c>
      <c r="AN69">
        <f t="shared" si="110"/>
        <v>-1.6337411163539106</v>
      </c>
      <c r="AO69">
        <f t="shared" si="111"/>
        <v>-1.5575057537911732</v>
      </c>
      <c r="AP69">
        <f t="shared" si="112"/>
        <v>-1.2525643035402236</v>
      </c>
      <c r="AQ69">
        <f t="shared" si="113"/>
        <v>-0.87138749072653643</v>
      </c>
    </row>
    <row r="70" spans="1:43" x14ac:dyDescent="0.3">
      <c r="A70">
        <v>80</v>
      </c>
      <c r="B70">
        <v>0.8</v>
      </c>
      <c r="C70">
        <v>9.9999999999999995E-8</v>
      </c>
      <c r="D70">
        <f t="shared" si="105"/>
        <v>0.99999990000000005</v>
      </c>
      <c r="E70">
        <f t="shared" si="100"/>
        <v>8.9442719099991592</v>
      </c>
      <c r="F70">
        <f t="shared" si="101"/>
        <v>79</v>
      </c>
      <c r="G70">
        <f t="shared" si="102"/>
        <v>0.63707595622123037</v>
      </c>
      <c r="H70">
        <f t="shared" si="103"/>
        <v>-0.16292404377876968</v>
      </c>
      <c r="I70" s="2">
        <f>_xlfn.T.DIST.RT(E70*H70,F70)</f>
        <v>0.92549269922664945</v>
      </c>
      <c r="J70">
        <f>1-I70</f>
        <v>7.4507300773350549E-2</v>
      </c>
      <c r="L70">
        <f>I70/C70</f>
        <v>9254926.9922664948</v>
      </c>
      <c r="M70">
        <f t="shared" si="104"/>
        <v>6.9663729971590627</v>
      </c>
      <c r="O70">
        <f>J70/D70</f>
        <v>7.4507308224081373E-2</v>
      </c>
      <c r="P70">
        <f t="shared" si="106"/>
        <v>-1.1278011263694896</v>
      </c>
      <c r="R70" s="4">
        <f>_xlfn.T.DIST.RT(E70*(G70-0.2),F70)</f>
        <v>9.7202298344361635E-5</v>
      </c>
      <c r="S70">
        <f>R70*M70</f>
        <v>6.7714746644795991E-4</v>
      </c>
      <c r="T70">
        <f>(1-R70)*P70</f>
        <v>-1.1276915015079312</v>
      </c>
      <c r="U70" s="2">
        <f>_xlfn.T.DIST.RT(E70*(G70-0.4),F70)</f>
        <v>1.8551951624133485E-2</v>
      </c>
      <c r="V70">
        <f>U70*M70</f>
        <v>0.12923981483896474</v>
      </c>
      <c r="W70">
        <f>(1-U70)*P70</f>
        <v>-1.1068782144314395</v>
      </c>
      <c r="X70" s="2">
        <f>_xlfn.T.DIST.RT(E70*(G70-0.8),F70)</f>
        <v>0.92549269922664945</v>
      </c>
      <c r="Y70">
        <f>X70*M70</f>
        <v>6.4473273489603846</v>
      </c>
      <c r="Z70">
        <f>(1-X70)*P70</f>
        <v>-8.4029417734935094E-2</v>
      </c>
      <c r="AB70">
        <f>C70*M70</f>
        <v>6.9663729971590623E-7</v>
      </c>
      <c r="AC70">
        <f>D70*P70</f>
        <v>-1.127801013589377</v>
      </c>
      <c r="AD70">
        <f>(C70+0.01)*M70</f>
        <v>6.9664426608890342E-2</v>
      </c>
      <c r="AE70">
        <f>(D70-0.01)*P70</f>
        <v>-1.116523002325682</v>
      </c>
      <c r="AF70">
        <f>(C70+0.05)*M70</f>
        <v>0.34831934649525287</v>
      </c>
      <c r="AG70">
        <f>(D70-0.05)*P70</f>
        <v>-1.0714109572709025</v>
      </c>
      <c r="AH70">
        <f>(C70+0.1)*M70</f>
        <v>0.696637996353206</v>
      </c>
      <c r="AI70">
        <f>(D70-0.1)*P70</f>
        <v>-1.015020900952428</v>
      </c>
      <c r="AK70">
        <f t="shared" si="107"/>
        <v>-1.1270143540414832</v>
      </c>
      <c r="AL70">
        <f t="shared" si="108"/>
        <v>-0.97763839959247478</v>
      </c>
      <c r="AM70">
        <f t="shared" si="109"/>
        <v>6.3632979312254498</v>
      </c>
      <c r="AN70">
        <f t="shared" si="110"/>
        <v>-1.1278003169520774</v>
      </c>
      <c r="AO70">
        <f t="shared" si="111"/>
        <v>-1.0468585757167916</v>
      </c>
      <c r="AP70">
        <f t="shared" si="112"/>
        <v>-0.72309161077564965</v>
      </c>
      <c r="AQ70">
        <f t="shared" si="113"/>
        <v>-0.31838290459922203</v>
      </c>
    </row>
    <row r="71" spans="1:43" x14ac:dyDescent="0.3">
      <c r="A71">
        <v>80</v>
      </c>
      <c r="B71">
        <v>0.8</v>
      </c>
      <c r="C71" s="3">
        <v>3.3689999999999999E-8</v>
      </c>
      <c r="D71">
        <f t="shared" si="105"/>
        <v>0.99999996630999999</v>
      </c>
      <c r="E71">
        <v>8.9442719099999994</v>
      </c>
      <c r="F71">
        <v>79</v>
      </c>
      <c r="G71">
        <v>0.66612980099999997</v>
      </c>
      <c r="H71">
        <v>-0.133870199</v>
      </c>
      <c r="I71">
        <v>0.88262885800000002</v>
      </c>
      <c r="J71">
        <f>1-I71</f>
        <v>0.11737114199999998</v>
      </c>
      <c r="L71">
        <f>I71/C71</f>
        <v>26198541.347580887</v>
      </c>
      <c r="M71">
        <f t="shared" ref="M71" si="128">LOG10(L71)</f>
        <v>7.4182771118414426</v>
      </c>
      <c r="O71">
        <f>J71/D71</f>
        <v>0.1173711459542339</v>
      </c>
      <c r="P71">
        <f t="shared" si="106"/>
        <v>-0.93043865515854451</v>
      </c>
      <c r="R71" s="4">
        <f>_xlfn.T.DIST.RT(E71*(G71-0.2),F71)</f>
        <v>3.8848637323895154E-5</v>
      </c>
      <c r="S71">
        <f>R71*M71</f>
        <v>2.8818995708608064E-4</v>
      </c>
      <c r="T71">
        <f>(1-R71)*P71</f>
        <v>-0.93040250888467813</v>
      </c>
      <c r="U71" s="2">
        <f>_xlfn.T.DIST.RT(E71*(G71-0.4),F71)</f>
        <v>9.853209865034001E-3</v>
      </c>
      <c r="V71">
        <f>U71*M71</f>
        <v>7.3093841219952035E-2</v>
      </c>
      <c r="W71">
        <f>(1-U71)*P71</f>
        <v>-0.92127084782272739</v>
      </c>
      <c r="X71" s="2">
        <f>_xlfn.T.DIST.RT(E71*(G71-0.8),F71)</f>
        <v>0.88262885798481072</v>
      </c>
      <c r="Y71">
        <f>X71*M71</f>
        <v>6.5475854554394726</v>
      </c>
      <c r="Z71">
        <f>(1-X71)*P71</f>
        <v>-0.10920664753103525</v>
      </c>
      <c r="AB71">
        <f>C71*M71</f>
        <v>2.4992175589793822E-7</v>
      </c>
      <c r="AC71">
        <f>D71*P71</f>
        <v>-0.93043862381206621</v>
      </c>
      <c r="AD71">
        <f>(C71+0.01)*M71</f>
        <v>7.4183021040170327E-2</v>
      </c>
      <c r="AE71">
        <f>(D71-0.01)*P71</f>
        <v>-0.92113423726048071</v>
      </c>
      <c r="AF71">
        <f>(C71+0.05)*M71</f>
        <v>0.37091410551382803</v>
      </c>
      <c r="AG71">
        <f>(D71-0.05)*P71</f>
        <v>-0.88391669105413895</v>
      </c>
      <c r="AH71">
        <f>(C71+0.1)*M71</f>
        <v>0.74182796110590021</v>
      </c>
      <c r="AI71">
        <f>(D71-0.1)*P71</f>
        <v>-0.83739475829621179</v>
      </c>
      <c r="AK71">
        <f t="shared" si="107"/>
        <v>-0.930114318927592</v>
      </c>
      <c r="AL71">
        <f t="shared" si="108"/>
        <v>-0.8481770066027754</v>
      </c>
      <c r="AM71">
        <f t="shared" si="109"/>
        <v>6.4383788079084372</v>
      </c>
      <c r="AN71">
        <f t="shared" si="110"/>
        <v>-0.93043837389031037</v>
      </c>
      <c r="AO71">
        <f t="shared" si="111"/>
        <v>-0.84695121622031033</v>
      </c>
      <c r="AP71">
        <f t="shared" si="112"/>
        <v>-0.51300258554031086</v>
      </c>
      <c r="AQ71">
        <f t="shared" si="113"/>
        <v>-9.5566797190311581E-2</v>
      </c>
    </row>
    <row r="72" spans="1:43" x14ac:dyDescent="0.3">
      <c r="A72">
        <v>80</v>
      </c>
      <c r="B72">
        <v>0.8</v>
      </c>
      <c r="C72">
        <v>1E-8</v>
      </c>
      <c r="D72">
        <f t="shared" si="105"/>
        <v>0.99999998999999995</v>
      </c>
      <c r="E72">
        <f>SQRT(A72)</f>
        <v>8.9442719099991592</v>
      </c>
      <c r="F72">
        <f>A72-1</f>
        <v>79</v>
      </c>
      <c r="G72">
        <f>-_xlfn.T.INV(C72,F72)/E72</f>
        <v>0.69807933018758273</v>
      </c>
      <c r="H72">
        <f>G72-B72</f>
        <v>-0.10192066981241732</v>
      </c>
      <c r="I72" s="2">
        <f>_xlfn.T.DIST.RT(E72*H72,F72)</f>
        <v>0.81762527713859301</v>
      </c>
      <c r="J72">
        <f>1-I72</f>
        <v>0.18237472286140699</v>
      </c>
      <c r="L72">
        <f>I72/C72</f>
        <v>81762527.713859305</v>
      </c>
      <c r="M72">
        <f>LOG10(L72)</f>
        <v>7.9125543093465547</v>
      </c>
      <c r="O72">
        <f>J72/D72</f>
        <v>0.18237472468515425</v>
      </c>
      <c r="P72">
        <f t="shared" si="106"/>
        <v>-0.73903535071361759</v>
      </c>
      <c r="R72" s="4">
        <f>_xlfn.T.DIST.RT(E72*(G72-0.2),F72)</f>
        <v>1.3658089975715003E-5</v>
      </c>
      <c r="S72">
        <f>R72*M72</f>
        <v>1.0807037869478672E-4</v>
      </c>
      <c r="T72">
        <f>(1-R72)*P72</f>
        <v>-0.73902525690230236</v>
      </c>
      <c r="U72" s="2">
        <f>_xlfn.T.DIST.RT(E72*(G72-0.4),F72)</f>
        <v>4.6516216961835473E-3</v>
      </c>
      <c r="V72">
        <f>U72*M72</f>
        <v>3.6806209297587059E-2</v>
      </c>
      <c r="W72">
        <f>(1-U72)*P72</f>
        <v>-0.7355976378419915</v>
      </c>
      <c r="X72" s="2">
        <f>_xlfn.T.DIST.RT(E72*(G72-0.8),F72)</f>
        <v>0.81762527713859301</v>
      </c>
      <c r="Y72">
        <f>X72*M72</f>
        <v>6.469504410053645</v>
      </c>
      <c r="Z72">
        <f>(1-X72)*P72</f>
        <v>-0.13478136727117873</v>
      </c>
      <c r="AB72">
        <f>C72*M72</f>
        <v>7.9125543093465546E-8</v>
      </c>
      <c r="AC72">
        <f>D72*P72</f>
        <v>-0.73903534332326404</v>
      </c>
      <c r="AD72">
        <f>(C72+0.01)*M72</f>
        <v>7.9125622219008637E-2</v>
      </c>
      <c r="AE72">
        <f>(D72-0.01)*P72</f>
        <v>-0.73164498981612791</v>
      </c>
      <c r="AF72">
        <f>(C72+0.05)*M72</f>
        <v>0.39562779459287084</v>
      </c>
      <c r="AG72">
        <f>(D72-0.05)*P72</f>
        <v>-0.70208357578758318</v>
      </c>
      <c r="AH72">
        <f>(C72+0.1)*M72</f>
        <v>0.79125551006019856</v>
      </c>
      <c r="AI72">
        <f>(D72-0.1)*P72</f>
        <v>-0.66513180825190232</v>
      </c>
      <c r="AK72">
        <f t="shared" si="107"/>
        <v>-0.73891718652360761</v>
      </c>
      <c r="AL72">
        <f t="shared" si="108"/>
        <v>-0.69879142854440446</v>
      </c>
      <c r="AM72">
        <f t="shared" si="109"/>
        <v>6.3347230427824659</v>
      </c>
      <c r="AN72">
        <f t="shared" si="110"/>
        <v>-0.73903526419772092</v>
      </c>
      <c r="AO72">
        <f t="shared" si="111"/>
        <v>-0.65251936759711926</v>
      </c>
      <c r="AP72">
        <f t="shared" si="112"/>
        <v>-0.30645578119471234</v>
      </c>
      <c r="AQ72">
        <f t="shared" si="113"/>
        <v>0.12612370180829624</v>
      </c>
    </row>
  </sheetData>
  <sortState xmlns:xlrd2="http://schemas.microsoft.com/office/spreadsheetml/2017/richdata2" ref="A2:AD72">
    <sortCondition ref="A2:A72"/>
    <sortCondition descending="1" ref="C2:C7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zoomScale="70" zoomScaleNormal="70" workbookViewId="0"/>
  </sheetViews>
  <sheetFormatPr defaultRowHeight="14.4" x14ac:dyDescent="0.3"/>
  <cols>
    <col min="8" max="8" width="9.109375" customWidth="1"/>
    <col min="11" max="11" width="0" hidden="1" customWidth="1"/>
  </cols>
  <sheetData>
    <row r="1" spans="1:11" x14ac:dyDescent="0.3">
      <c r="A1" t="s">
        <v>0</v>
      </c>
      <c r="B1" t="s">
        <v>66</v>
      </c>
      <c r="C1" s="6" t="s">
        <v>42</v>
      </c>
      <c r="D1" t="s">
        <v>28</v>
      </c>
      <c r="E1" s="1" t="s">
        <v>31</v>
      </c>
      <c r="F1" s="1" t="s">
        <v>32</v>
      </c>
      <c r="G1" s="1" t="s">
        <v>33</v>
      </c>
      <c r="H1" s="5" t="s">
        <v>34</v>
      </c>
      <c r="I1" s="5" t="s">
        <v>35</v>
      </c>
      <c r="J1" s="5" t="s">
        <v>36</v>
      </c>
      <c r="K1" t="s">
        <v>18</v>
      </c>
    </row>
    <row r="2" spans="1:11" x14ac:dyDescent="0.3">
      <c r="A2">
        <v>5</v>
      </c>
      <c r="B2">
        <v>0.2</v>
      </c>
      <c r="C2">
        <v>0.5</v>
      </c>
      <c r="D2">
        <v>0.66106558565037532</v>
      </c>
      <c r="E2">
        <v>9.9783516306736139E-2</v>
      </c>
      <c r="F2">
        <v>6.0108376322708365E-2</v>
      </c>
      <c r="G2">
        <v>2.2939882197502641E-2</v>
      </c>
      <c r="H2">
        <v>5.2229921734937568E-3</v>
      </c>
      <c r="I2">
        <v>-9.2834518696740947E-3</v>
      </c>
      <c r="J2">
        <v>-2.3789895912841953E-2</v>
      </c>
      <c r="K2">
        <v>-2.3789895912841953E-2</v>
      </c>
    </row>
    <row r="3" spans="1:11" x14ac:dyDescent="0.3">
      <c r="A3">
        <v>5</v>
      </c>
      <c r="B3">
        <v>0.2</v>
      </c>
      <c r="C3">
        <v>0.39490741710260302</v>
      </c>
      <c r="D3">
        <v>0.56051095105904147</v>
      </c>
      <c r="E3">
        <v>0.12196735278054274</v>
      </c>
      <c r="F3">
        <v>6.8416692567164344E-2</v>
      </c>
      <c r="G3">
        <v>2.4213942555158303E-2</v>
      </c>
      <c r="H3">
        <v>5.1257688631346637E-3</v>
      </c>
      <c r="I3">
        <v>-9.42236028544019E-3</v>
      </c>
      <c r="J3">
        <v>-2.3970489434015044E-2</v>
      </c>
      <c r="K3">
        <v>-2.3970489434015044E-2</v>
      </c>
    </row>
    <row r="4" spans="1:11" x14ac:dyDescent="0.3">
      <c r="A4">
        <v>5</v>
      </c>
      <c r="B4">
        <v>0.2</v>
      </c>
      <c r="C4">
        <v>0.2</v>
      </c>
      <c r="D4">
        <v>0.32368249406830352</v>
      </c>
      <c r="E4">
        <v>0.14644284336790481</v>
      </c>
      <c r="F4">
        <v>6.3155321217610583E-2</v>
      </c>
      <c r="G4">
        <v>1.8348354236349493E-2</v>
      </c>
      <c r="H4">
        <v>1.1669214200734322E-2</v>
      </c>
      <c r="I4">
        <v>-2.4322145093323561E-3</v>
      </c>
      <c r="J4">
        <v>-1.6533643219399027E-2</v>
      </c>
      <c r="K4">
        <v>-1.6533643219399027E-2</v>
      </c>
    </row>
    <row r="5" spans="1:11" x14ac:dyDescent="0.3">
      <c r="A5">
        <v>5</v>
      </c>
      <c r="B5">
        <v>0.2</v>
      </c>
      <c r="C5">
        <v>0.1</v>
      </c>
      <c r="D5">
        <v>0.16927488736668583</v>
      </c>
      <c r="E5">
        <v>0.12181518982884838</v>
      </c>
      <c r="F5">
        <v>3.8658939886310278E-2</v>
      </c>
      <c r="G5">
        <v>9.7980609685684034E-3</v>
      </c>
      <c r="H5">
        <v>1.7890370578219371E-2</v>
      </c>
      <c r="I5">
        <v>4.7214853958803503E-3</v>
      </c>
      <c r="J5">
        <v>-8.4473997864586738E-3</v>
      </c>
      <c r="K5">
        <v>-8.4473997864586738E-3</v>
      </c>
    </row>
    <row r="6" spans="1:11" x14ac:dyDescent="0.3">
      <c r="A6">
        <v>5</v>
      </c>
      <c r="B6">
        <v>0.2</v>
      </c>
      <c r="C6">
        <v>0.05</v>
      </c>
      <c r="D6">
        <v>8.3671427109241539E-2</v>
      </c>
      <c r="E6">
        <v>7.3922473669857477E-2</v>
      </c>
      <c r="F6">
        <v>1.8258230619353787E-2</v>
      </c>
      <c r="G6">
        <v>4.3484849240538973E-3</v>
      </c>
      <c r="H6">
        <v>2.0219555895487441E-2</v>
      </c>
      <c r="I6">
        <v>8.255578472384421E-3</v>
      </c>
      <c r="J6">
        <v>-3.708398950718594E-3</v>
      </c>
      <c r="K6">
        <v>-3.708398950718594E-3</v>
      </c>
    </row>
    <row r="7" spans="1:11" x14ac:dyDescent="0.3">
      <c r="A7">
        <v>5</v>
      </c>
      <c r="B7">
        <v>0.2</v>
      </c>
      <c r="C7">
        <v>0.02</v>
      </c>
      <c r="D7">
        <v>3.1608623915069411E-2</v>
      </c>
      <c r="E7">
        <v>2.4704209687428813E-2</v>
      </c>
      <c r="F7">
        <v>5.3461159017370993E-3</v>
      </c>
      <c r="G7">
        <v>1.2714402708698851E-3</v>
      </c>
      <c r="H7">
        <v>1.9298928247424706E-2</v>
      </c>
      <c r="I7">
        <v>9.1013904473382125E-3</v>
      </c>
      <c r="J7">
        <v>-1.0961473527482815E-3</v>
      </c>
      <c r="K7">
        <v>-1.0961473527482815E-3</v>
      </c>
    </row>
    <row r="8" spans="1:11" x14ac:dyDescent="0.3">
      <c r="A8">
        <v>5</v>
      </c>
      <c r="B8">
        <v>0.2</v>
      </c>
      <c r="C8">
        <v>0.01</v>
      </c>
      <c r="D8">
        <v>1.4970444511258471E-2</v>
      </c>
      <c r="E8">
        <v>8.620824272092379E-3</v>
      </c>
      <c r="F8">
        <v>1.9193819546209309E-3</v>
      </c>
      <c r="G8">
        <v>4.7013263919450272E-4</v>
      </c>
      <c r="H8">
        <v>1.7330336138387432E-2</v>
      </c>
      <c r="I8">
        <v>8.459304693233291E-3</v>
      </c>
      <c r="J8">
        <v>-4.1172675192085138E-4</v>
      </c>
      <c r="K8">
        <v>-4.1172675192085138E-4</v>
      </c>
    </row>
    <row r="9" spans="1:11" x14ac:dyDescent="0.3">
      <c r="A9">
        <v>5</v>
      </c>
      <c r="B9">
        <v>0.2</v>
      </c>
      <c r="C9">
        <v>5.0000000000000001E-3</v>
      </c>
      <c r="D9">
        <v>7.0904777439126159E-3</v>
      </c>
      <c r="E9">
        <v>2.7540313703404576E-3</v>
      </c>
      <c r="F9">
        <v>6.6315069299997028E-4</v>
      </c>
      <c r="G9">
        <v>1.6873587070008987E-4</v>
      </c>
      <c r="H9">
        <v>1.5111579345904015E-2</v>
      </c>
      <c r="I9">
        <v>7.4806344026123149E-3</v>
      </c>
      <c r="J9">
        <v>-1.5031054067938653E-4</v>
      </c>
      <c r="K9">
        <v>-1.5031054067938653E-4</v>
      </c>
    </row>
    <row r="10" spans="1:11" x14ac:dyDescent="0.3">
      <c r="A10">
        <v>5</v>
      </c>
      <c r="B10">
        <v>0.2</v>
      </c>
      <c r="C10">
        <v>2E-3</v>
      </c>
      <c r="D10">
        <v>2.6568061553184788E-3</v>
      </c>
      <c r="E10">
        <v>5.8658976839536664E-4</v>
      </c>
      <c r="F10">
        <v>1.5885232257361578E-4</v>
      </c>
      <c r="G10">
        <v>4.2510161480680442E-5</v>
      </c>
      <c r="H10">
        <v>1.2322897164844915E-2</v>
      </c>
      <c r="I10">
        <v>6.1421078585517982E-3</v>
      </c>
      <c r="J10">
        <v>-3.8681447741318567E-5</v>
      </c>
      <c r="K10">
        <v>-3.8681447741318567E-5</v>
      </c>
    </row>
    <row r="11" spans="1:11" x14ac:dyDescent="0.3">
      <c r="A11">
        <v>5</v>
      </c>
      <c r="B11">
        <v>0.2</v>
      </c>
      <c r="C11">
        <v>1E-3</v>
      </c>
      <c r="D11">
        <v>1.2725233521668497E-3</v>
      </c>
      <c r="E11">
        <v>1.8286895475432886E-4</v>
      </c>
      <c r="F11">
        <v>5.3629855298259637E-5</v>
      </c>
      <c r="G11">
        <v>1.4850381734442201E-5</v>
      </c>
      <c r="H11">
        <v>1.0464719313971485E-2</v>
      </c>
      <c r="I11">
        <v>5.2255067702015349E-3</v>
      </c>
      <c r="J11">
        <v>-1.370577356841369E-5</v>
      </c>
      <c r="K11">
        <v>-1.370577356841369E-5</v>
      </c>
    </row>
    <row r="12" spans="1:11" x14ac:dyDescent="0.3">
      <c r="A12">
        <v>20</v>
      </c>
      <c r="B12">
        <v>0.2</v>
      </c>
      <c r="C12">
        <v>0.5</v>
      </c>
      <c r="D12">
        <v>0.80885793231628456</v>
      </c>
      <c r="E12">
        <v>0.20827331417585088</v>
      </c>
      <c r="F12">
        <v>0.18083604544049911</v>
      </c>
      <c r="G12">
        <v>8.9148686767098154E-2</v>
      </c>
      <c r="H12">
        <v>-4.1704143124224297E-2</v>
      </c>
      <c r="I12">
        <v>-7.3029941584482214E-2</v>
      </c>
      <c r="J12">
        <v>-0.10435574004474014</v>
      </c>
      <c r="K12">
        <v>-0.10435574004474014</v>
      </c>
    </row>
    <row r="13" spans="1:11" x14ac:dyDescent="0.3">
      <c r="A13">
        <v>20</v>
      </c>
      <c r="B13">
        <v>0.2</v>
      </c>
      <c r="C13">
        <v>0.25781843005371102</v>
      </c>
      <c r="D13">
        <v>0.59048082236358579</v>
      </c>
      <c r="E13">
        <v>0.35714861073048604</v>
      </c>
      <c r="F13">
        <v>0.27520151249393277</v>
      </c>
      <c r="G13">
        <v>0.10675666617536753</v>
      </c>
      <c r="H13">
        <v>-3.7058416953647838E-2</v>
      </c>
      <c r="I13">
        <v>-6.7964804896541747E-2</v>
      </c>
      <c r="J13">
        <v>-9.8871192839435657E-2</v>
      </c>
      <c r="K13">
        <v>-9.8871192839435657E-2</v>
      </c>
    </row>
    <row r="14" spans="1:11" x14ac:dyDescent="0.3">
      <c r="A14">
        <v>20</v>
      </c>
      <c r="B14">
        <v>0.2</v>
      </c>
      <c r="C14">
        <v>0.2</v>
      </c>
      <c r="D14">
        <v>0.51317816032104047</v>
      </c>
      <c r="E14">
        <v>0.40496187678939416</v>
      </c>
      <c r="F14">
        <v>0.29515331671603423</v>
      </c>
      <c r="G14">
        <v>0.10499491612061065</v>
      </c>
      <c r="H14">
        <v>-2.8232502692729047E-2</v>
      </c>
      <c r="I14">
        <v>-5.9480407875113314E-2</v>
      </c>
      <c r="J14">
        <v>-9.0728313057497609E-2</v>
      </c>
      <c r="K14">
        <v>-9.0728313057497609E-2</v>
      </c>
    </row>
    <row r="15" spans="1:11" x14ac:dyDescent="0.3">
      <c r="A15">
        <v>20</v>
      </c>
      <c r="B15">
        <v>0.2</v>
      </c>
      <c r="C15">
        <v>0.1</v>
      </c>
      <c r="D15">
        <v>0.334837709693382</v>
      </c>
      <c r="E15">
        <v>0.51286135093689056</v>
      </c>
      <c r="F15">
        <v>0.31160452643708375</v>
      </c>
      <c r="G15">
        <v>8.838862336654324E-2</v>
      </c>
      <c r="H15">
        <v>-8.5039002565942545E-5</v>
      </c>
      <c r="I15">
        <v>-3.2892501607165309E-2</v>
      </c>
      <c r="J15">
        <v>-6.5699964211764716E-2</v>
      </c>
      <c r="K15">
        <v>-6.5699964211764716E-2</v>
      </c>
    </row>
    <row r="16" spans="1:11" x14ac:dyDescent="0.3">
      <c r="A16">
        <v>20</v>
      </c>
      <c r="B16">
        <v>0.2</v>
      </c>
      <c r="C16">
        <v>0.05</v>
      </c>
      <c r="D16">
        <v>0.20712803212771269</v>
      </c>
      <c r="E16">
        <v>0.58938733623522799</v>
      </c>
      <c r="F16">
        <v>0.28572484067953485</v>
      </c>
      <c r="G16">
        <v>6.5596950882397878E-2</v>
      </c>
      <c r="H16">
        <v>2.5847870744886148E-2</v>
      </c>
      <c r="I16">
        <v>-8.941600077993439E-3</v>
      </c>
      <c r="J16">
        <v>-4.3731070900873012E-2</v>
      </c>
      <c r="K16">
        <v>-4.3731070900873012E-2</v>
      </c>
    </row>
    <row r="17" spans="1:11" x14ac:dyDescent="0.3">
      <c r="A17">
        <v>20</v>
      </c>
      <c r="B17">
        <v>0.2</v>
      </c>
      <c r="C17">
        <v>0.02</v>
      </c>
      <c r="D17">
        <v>0.10286152054408156</v>
      </c>
      <c r="E17">
        <v>0.64160906513807903</v>
      </c>
      <c r="F17">
        <v>0.21731134823621037</v>
      </c>
      <c r="G17">
        <v>3.8737328247990407E-2</v>
      </c>
      <c r="H17">
        <v>5.158415310171479E-2</v>
      </c>
      <c r="I17">
        <v>1.4104676329089079E-2</v>
      </c>
      <c r="J17">
        <v>-2.3374800443536639E-2</v>
      </c>
      <c r="K17">
        <v>-2.3374800443536639E-2</v>
      </c>
    </row>
    <row r="18" spans="1:11" x14ac:dyDescent="0.3">
      <c r="A18">
        <v>20</v>
      </c>
      <c r="B18">
        <v>0.2</v>
      </c>
      <c r="C18">
        <v>0.01</v>
      </c>
      <c r="D18">
        <v>5.8200730357768474E-2</v>
      </c>
      <c r="E18">
        <v>0.64214009570626551</v>
      </c>
      <c r="F18">
        <v>0.16005719367395263</v>
      </c>
      <c r="G18">
        <v>2.4104156511108185E-2</v>
      </c>
      <c r="H18">
        <v>6.4849735506873049E-2</v>
      </c>
      <c r="I18">
        <v>2.5519471511658998E-2</v>
      </c>
      <c r="J18">
        <v>-1.3810792483555059E-2</v>
      </c>
      <c r="K18">
        <v>-1.3810792483555059E-2</v>
      </c>
    </row>
    <row r="19" spans="1:11" x14ac:dyDescent="0.3">
      <c r="A19">
        <v>20</v>
      </c>
      <c r="B19">
        <v>0.2</v>
      </c>
      <c r="C19">
        <v>5.0000000000000001E-3</v>
      </c>
      <c r="D19">
        <v>3.2010422961456411E-2</v>
      </c>
      <c r="E19">
        <v>0.6090223745003801</v>
      </c>
      <c r="F19">
        <v>0.109607561550951</v>
      </c>
      <c r="G19">
        <v>1.4240890955096392E-2</v>
      </c>
      <c r="H19">
        <v>7.3966350104337997E-2</v>
      </c>
      <c r="I19">
        <v>3.305265970323977E-2</v>
      </c>
      <c r="J19">
        <v>-7.8610306978584531E-3</v>
      </c>
      <c r="K19">
        <v>-7.8610306978584531E-3</v>
      </c>
    </row>
    <row r="20" spans="1:11" x14ac:dyDescent="0.3">
      <c r="A20">
        <v>20</v>
      </c>
      <c r="B20">
        <v>0.2</v>
      </c>
      <c r="C20">
        <v>2E-3</v>
      </c>
      <c r="D20">
        <v>1.4008104340499174E-2</v>
      </c>
      <c r="E20">
        <v>0.52041293753450446</v>
      </c>
      <c r="F20">
        <v>6.0295834009727642E-2</v>
      </c>
      <c r="G20">
        <v>6.6581895553384784E-3</v>
      </c>
      <c r="H20">
        <v>8.1504673961119253E-2</v>
      </c>
      <c r="I20">
        <v>3.8974345545754949E-2</v>
      </c>
      <c r="J20">
        <v>-3.555982869609349E-3</v>
      </c>
      <c r="K20">
        <v>-3.555982869609349E-3</v>
      </c>
    </row>
    <row r="21" spans="1:11" x14ac:dyDescent="0.3">
      <c r="A21">
        <v>20</v>
      </c>
      <c r="B21">
        <v>0.2</v>
      </c>
      <c r="C21">
        <v>1E-3</v>
      </c>
      <c r="D21">
        <v>7.3282106104666268E-3</v>
      </c>
      <c r="E21">
        <v>0.43054118516620937</v>
      </c>
      <c r="F21">
        <v>3.5991672084119047E-2</v>
      </c>
      <c r="G21">
        <v>3.5993032261794149E-3</v>
      </c>
      <c r="H21">
        <v>8.4883724486704643E-2</v>
      </c>
      <c r="I21">
        <v>4.1495836953936042E-2</v>
      </c>
      <c r="J21">
        <v>-1.8920505788325636E-3</v>
      </c>
      <c r="K21">
        <v>-1.8920505788325636E-3</v>
      </c>
    </row>
    <row r="22" spans="1:11" x14ac:dyDescent="0.3">
      <c r="A22">
        <v>80</v>
      </c>
      <c r="B22">
        <v>0.2</v>
      </c>
      <c r="C22">
        <v>0.5</v>
      </c>
      <c r="D22">
        <v>0.96126423894019108</v>
      </c>
      <c r="E22">
        <v>0.28387278134217336</v>
      </c>
      <c r="F22">
        <v>0.28345729872628289</v>
      </c>
      <c r="G22">
        <v>0.2298468267469235</v>
      </c>
      <c r="H22">
        <v>-0.27401949550139237</v>
      </c>
      <c r="I22">
        <v>-0.34375603013964828</v>
      </c>
      <c r="J22">
        <v>-0.41349256477790419</v>
      </c>
      <c r="K22">
        <v>-0.41349256477790419</v>
      </c>
    </row>
    <row r="23" spans="1:11" x14ac:dyDescent="0.3">
      <c r="A23">
        <v>80</v>
      </c>
      <c r="B23">
        <v>0.2</v>
      </c>
      <c r="C23">
        <v>0.2</v>
      </c>
      <c r="D23">
        <v>0.82563553447006699</v>
      </c>
      <c r="E23">
        <v>0.61575837094116326</v>
      </c>
      <c r="F23">
        <v>0.61079345110725336</v>
      </c>
      <c r="G23">
        <v>0.3930268888944905</v>
      </c>
      <c r="H23">
        <v>-0.2784148886805704</v>
      </c>
      <c r="I23">
        <v>-0.34228440791427217</v>
      </c>
      <c r="J23">
        <v>-0.40615392714797394</v>
      </c>
      <c r="K23">
        <v>-0.40615392714797394</v>
      </c>
    </row>
    <row r="24" spans="1:11" x14ac:dyDescent="0.3">
      <c r="A24">
        <v>80</v>
      </c>
      <c r="B24">
        <v>0.2</v>
      </c>
      <c r="C24">
        <v>0.1</v>
      </c>
      <c r="D24">
        <v>0.68953787476986084</v>
      </c>
      <c r="E24">
        <v>0.83855806063636185</v>
      </c>
      <c r="F24">
        <v>0.82231515030292135</v>
      </c>
      <c r="G24">
        <v>0.4347114742811265</v>
      </c>
      <c r="H24">
        <v>-0.20207548149865187</v>
      </c>
      <c r="I24">
        <v>-0.26711508196665867</v>
      </c>
      <c r="J24">
        <v>-0.33215468243466556</v>
      </c>
      <c r="K24">
        <v>-0.33215468243466556</v>
      </c>
    </row>
    <row r="25" spans="1:11" x14ac:dyDescent="0.3">
      <c r="A25">
        <v>80</v>
      </c>
      <c r="B25">
        <v>0.2</v>
      </c>
      <c r="C25">
        <v>8.2406549546977001E-2</v>
      </c>
      <c r="D25">
        <v>0.65002413297281625</v>
      </c>
      <c r="E25">
        <v>0.89696764597152845</v>
      </c>
      <c r="F25">
        <v>0.87554279572869442</v>
      </c>
      <c r="G25">
        <v>0.43654651429626123</v>
      </c>
      <c r="H25">
        <v>-0.17864180620515829</v>
      </c>
      <c r="I25">
        <v>-0.24442080407714309</v>
      </c>
      <c r="J25">
        <v>-0.31019980194912794</v>
      </c>
      <c r="K25">
        <v>-0.31019980194912794</v>
      </c>
    </row>
    <row r="26" spans="1:11" x14ac:dyDescent="0.3">
      <c r="A26">
        <v>80</v>
      </c>
      <c r="B26">
        <v>0.2</v>
      </c>
      <c r="C26">
        <v>0.05</v>
      </c>
      <c r="D26">
        <v>0.54937545628577333</v>
      </c>
      <c r="E26">
        <v>1.040898928046766</v>
      </c>
      <c r="F26">
        <v>1.0004137661912973</v>
      </c>
      <c r="G26">
        <v>0.42588326122883047</v>
      </c>
      <c r="H26">
        <v>-0.11918756121130036</v>
      </c>
      <c r="I26">
        <v>-0.18742796179942572</v>
      </c>
      <c r="J26">
        <v>-0.2556683623875512</v>
      </c>
      <c r="K26">
        <v>-0.2556683623875512</v>
      </c>
    </row>
    <row r="27" spans="1:11" x14ac:dyDescent="0.3">
      <c r="A27">
        <v>80</v>
      </c>
      <c r="B27">
        <v>0.2</v>
      </c>
      <c r="C27">
        <v>0.02</v>
      </c>
      <c r="D27">
        <v>0.38272579192123235</v>
      </c>
      <c r="E27">
        <v>1.2818558119039807</v>
      </c>
      <c r="F27">
        <v>1.1778241544480332</v>
      </c>
      <c r="G27">
        <v>0.36668348803698381</v>
      </c>
      <c r="H27">
        <v>-2.2835263192139021E-2</v>
      </c>
      <c r="I27">
        <v>-9.6965547162489396E-2</v>
      </c>
      <c r="J27">
        <v>-0.1710958311328398</v>
      </c>
      <c r="K27">
        <v>-0.1710958311328398</v>
      </c>
    </row>
    <row r="28" spans="1:11" x14ac:dyDescent="0.3">
      <c r="A28">
        <v>80</v>
      </c>
      <c r="B28">
        <v>0.2</v>
      </c>
      <c r="C28">
        <v>0.01</v>
      </c>
      <c r="D28">
        <v>0.27989767215356587</v>
      </c>
      <c r="E28">
        <v>1.4469929920902207</v>
      </c>
      <c r="F28">
        <v>1.2627294896980963</v>
      </c>
      <c r="G28">
        <v>0.30546408059338498</v>
      </c>
      <c r="H28">
        <v>3.6135449545141668E-2</v>
      </c>
      <c r="I28">
        <v>-4.3126563769791973E-2</v>
      </c>
      <c r="J28">
        <v>-0.12238857708472561</v>
      </c>
      <c r="K28">
        <v>-0.12238857708472561</v>
      </c>
    </row>
    <row r="29" spans="1:11" x14ac:dyDescent="0.3">
      <c r="A29">
        <v>80</v>
      </c>
      <c r="B29">
        <v>0.2</v>
      </c>
      <c r="C29">
        <v>5.0000000000000001E-3</v>
      </c>
      <c r="D29">
        <v>0.19876730149623623</v>
      </c>
      <c r="E29">
        <v>1.5993565174943749</v>
      </c>
      <c r="F29">
        <v>1.3021770947935243</v>
      </c>
      <c r="G29">
        <v>0.24253595443584516</v>
      </c>
      <c r="H29">
        <v>8.3746716014925074E-2</v>
      </c>
      <c r="I29">
        <v>-9.2525165777893048E-4</v>
      </c>
      <c r="J29">
        <v>-8.5597219330482949E-2</v>
      </c>
      <c r="K29">
        <v>-8.5597219330482949E-2</v>
      </c>
    </row>
    <row r="30" spans="1:11" x14ac:dyDescent="0.3">
      <c r="A30">
        <v>80</v>
      </c>
      <c r="B30">
        <v>0.2</v>
      </c>
      <c r="C30">
        <v>2E-3</v>
      </c>
      <c r="D30">
        <v>0.1215209892278304</v>
      </c>
      <c r="E30">
        <v>1.7835550931320796</v>
      </c>
      <c r="F30">
        <v>1.2853634359254866</v>
      </c>
      <c r="G30">
        <v>0.16808043278079868</v>
      </c>
      <c r="H30">
        <v>0.132180934341179</v>
      </c>
      <c r="I30">
        <v>4.0229911724868693E-2</v>
      </c>
      <c r="J30">
        <v>-5.172111089144163E-2</v>
      </c>
      <c r="K30">
        <v>-5.172111089144163E-2</v>
      </c>
    </row>
    <row r="31" spans="1:11" x14ac:dyDescent="0.3">
      <c r="A31">
        <v>80</v>
      </c>
      <c r="B31">
        <v>0.2</v>
      </c>
      <c r="C31">
        <v>1E-3</v>
      </c>
      <c r="D31">
        <v>8.1560417582076619E-2</v>
      </c>
      <c r="E31">
        <v>1.911320009909802</v>
      </c>
      <c r="F31">
        <v>1.2256232019299915</v>
      </c>
      <c r="G31">
        <v>0.12236433574999558</v>
      </c>
      <c r="H31">
        <v>0.16023253220283609</v>
      </c>
      <c r="I31">
        <v>6.2832815380920587E-2</v>
      </c>
      <c r="J31">
        <v>-3.4566901440994897E-2</v>
      </c>
      <c r="K31">
        <v>-3.4566901440994897E-2</v>
      </c>
    </row>
    <row r="32" spans="1:11" x14ac:dyDescent="0.3">
      <c r="A32">
        <v>320</v>
      </c>
      <c r="B32">
        <v>0.2</v>
      </c>
      <c r="C32">
        <v>0.5</v>
      </c>
      <c r="D32">
        <v>0.99979979467108848</v>
      </c>
      <c r="E32">
        <v>0.30094303888949198</v>
      </c>
      <c r="F32">
        <v>0.30094303887884488</v>
      </c>
      <c r="G32">
        <v>0.30020259201132188</v>
      </c>
      <c r="H32">
        <v>-1.1784319251952082</v>
      </c>
      <c r="I32">
        <v>-1.3633537957057955</v>
      </c>
      <c r="J32">
        <v>-1.5482756662163832</v>
      </c>
      <c r="K32">
        <v>-1.5482756662163832</v>
      </c>
    </row>
    <row r="33" spans="1:11" x14ac:dyDescent="0.3">
      <c r="A33">
        <v>320</v>
      </c>
      <c r="B33">
        <v>0.2</v>
      </c>
      <c r="C33">
        <v>0.2</v>
      </c>
      <c r="D33">
        <v>0.99670618188181759</v>
      </c>
      <c r="E33">
        <v>0.69753715623480061</v>
      </c>
      <c r="F33">
        <v>0.69753715482000911</v>
      </c>
      <c r="G33">
        <v>0.68738255368240597</v>
      </c>
      <c r="H33">
        <v>-1.4605121141355726</v>
      </c>
      <c r="I33">
        <v>-1.614658490590599</v>
      </c>
      <c r="J33">
        <v>-1.7688048670456256</v>
      </c>
      <c r="K33">
        <v>-1.7688048670456256</v>
      </c>
    </row>
    <row r="34" spans="1:11" x14ac:dyDescent="0.3">
      <c r="A34">
        <v>320</v>
      </c>
      <c r="B34">
        <v>0.2</v>
      </c>
      <c r="C34">
        <v>0.1</v>
      </c>
      <c r="D34">
        <v>0.98876535333712079</v>
      </c>
      <c r="E34">
        <v>0.99509324019000245</v>
      </c>
      <c r="F34">
        <v>0.9950932244581252</v>
      </c>
      <c r="G34">
        <v>0.96252651235076891</v>
      </c>
      <c r="H34">
        <v>-1.3239278250180997</v>
      </c>
      <c r="I34">
        <v>-1.4688666415936058</v>
      </c>
      <c r="J34">
        <v>-1.6138054581691121</v>
      </c>
      <c r="K34">
        <v>-1.6138054581691121</v>
      </c>
    </row>
    <row r="35" spans="1:11" x14ac:dyDescent="0.3">
      <c r="A35">
        <v>320</v>
      </c>
      <c r="B35">
        <v>0.2</v>
      </c>
      <c r="C35">
        <v>0.05</v>
      </c>
      <c r="D35">
        <v>0.97263275333651433</v>
      </c>
      <c r="E35">
        <v>1.2889788859771631</v>
      </c>
      <c r="F35">
        <v>1.2889787789009779</v>
      </c>
      <c r="G35">
        <v>1.2115440446642034</v>
      </c>
      <c r="H35">
        <v>-1.116071791036485</v>
      </c>
      <c r="I35">
        <v>-1.2575453602725819</v>
      </c>
      <c r="J35">
        <v>-1.399018929508679</v>
      </c>
      <c r="K35">
        <v>-1.399018929508679</v>
      </c>
    </row>
    <row r="36" spans="1:11" x14ac:dyDescent="0.3">
      <c r="A36">
        <v>320</v>
      </c>
      <c r="B36">
        <v>0.2</v>
      </c>
      <c r="C36">
        <v>0.02</v>
      </c>
      <c r="D36">
        <v>0.93468550009815188</v>
      </c>
      <c r="E36">
        <v>1.6696355098092994</v>
      </c>
      <c r="F36">
        <v>1.669634651235216</v>
      </c>
      <c r="G36">
        <v>1.4837601109672289</v>
      </c>
      <c r="H36">
        <v>-0.83471423223616736</v>
      </c>
      <c r="I36">
        <v>-0.97700683121602327</v>
      </c>
      <c r="J36">
        <v>-1.1192994301958794</v>
      </c>
      <c r="K36">
        <v>-1.1192994301958794</v>
      </c>
    </row>
    <row r="37" spans="1:11" x14ac:dyDescent="0.3">
      <c r="A37">
        <v>320</v>
      </c>
      <c r="B37">
        <v>0.2</v>
      </c>
      <c r="C37">
        <v>0.01</v>
      </c>
      <c r="D37">
        <v>0.89198543123406893</v>
      </c>
      <c r="E37">
        <v>1.9503577611179144</v>
      </c>
      <c r="F37">
        <v>1.9503544805130399</v>
      </c>
      <c r="G37">
        <v>1.6357641825156841</v>
      </c>
      <c r="H37">
        <v>-0.64177669032560525</v>
      </c>
      <c r="I37">
        <v>-0.78740222130557824</v>
      </c>
      <c r="J37">
        <v>-0.93302775228555124</v>
      </c>
      <c r="K37">
        <v>-0.93302775228555124</v>
      </c>
    </row>
    <row r="38" spans="1:11" x14ac:dyDescent="0.3">
      <c r="A38">
        <v>320</v>
      </c>
      <c r="B38">
        <v>0.2</v>
      </c>
      <c r="C38">
        <v>5.0000000000000001E-3</v>
      </c>
      <c r="D38">
        <v>0.83765286187468457</v>
      </c>
      <c r="E38">
        <v>2.2240940722813627</v>
      </c>
      <c r="F38">
        <v>2.2240832774284129</v>
      </c>
      <c r="G38">
        <v>1.7351901277994168</v>
      </c>
      <c r="H38">
        <v>-0.471173829352868</v>
      </c>
      <c r="I38">
        <v>-0.62174745514248986</v>
      </c>
      <c r="J38">
        <v>-0.77232108093211171</v>
      </c>
      <c r="K38">
        <v>-0.77232108093211171</v>
      </c>
    </row>
    <row r="39" spans="1:11" x14ac:dyDescent="0.3">
      <c r="A39">
        <v>320</v>
      </c>
      <c r="B39">
        <v>0.2</v>
      </c>
      <c r="C39">
        <v>2E-3</v>
      </c>
      <c r="D39">
        <v>0.75101547817176528</v>
      </c>
      <c r="E39">
        <v>2.5746188920929396</v>
      </c>
      <c r="F39">
        <v>2.5745753981421071</v>
      </c>
      <c r="G39">
        <v>1.7834513813984525</v>
      </c>
      <c r="H39">
        <v>-0.27884532884275182</v>
      </c>
      <c r="I39">
        <v>-0.43772418301511767</v>
      </c>
      <c r="J39">
        <v>-0.59660303718748364</v>
      </c>
      <c r="K39">
        <v>-0.59660303718748364</v>
      </c>
    </row>
    <row r="40" spans="1:11" x14ac:dyDescent="0.3">
      <c r="A40">
        <v>320</v>
      </c>
      <c r="B40">
        <v>0.2</v>
      </c>
      <c r="C40">
        <v>1.95909654645338E-3</v>
      </c>
      <c r="D40">
        <v>0.74890734743971699</v>
      </c>
      <c r="E40">
        <v>2.5823722523817438</v>
      </c>
      <c r="F40">
        <v>2.5823274615881537</v>
      </c>
      <c r="G40">
        <v>1.7834741272807975</v>
      </c>
      <c r="H40">
        <v>-0.27491244598573483</v>
      </c>
      <c r="I40">
        <v>-0.43399677540655379</v>
      </c>
      <c r="J40">
        <v>-0.59308110482737286</v>
      </c>
      <c r="K40">
        <v>-0.59308110482737286</v>
      </c>
    </row>
    <row r="41" spans="1:11" x14ac:dyDescent="0.3">
      <c r="A41">
        <v>320</v>
      </c>
      <c r="B41">
        <v>0.2</v>
      </c>
      <c r="C41">
        <v>1E-3</v>
      </c>
      <c r="D41">
        <v>0.67770618128167559</v>
      </c>
      <c r="E41">
        <v>2.8310414468090976</v>
      </c>
      <c r="F41">
        <v>2.8309298488069574</v>
      </c>
      <c r="G41">
        <v>1.7602669800034778</v>
      </c>
      <c r="H41">
        <v>-0.15575566114152106</v>
      </c>
      <c r="I41">
        <v>-0.32187340908093254</v>
      </c>
      <c r="J41">
        <v>-0.48799115702034407</v>
      </c>
      <c r="K41">
        <v>-0.48799115702034407</v>
      </c>
    </row>
    <row r="42" spans="1:11" x14ac:dyDescent="0.3">
      <c r="A42">
        <v>1280</v>
      </c>
      <c r="B42">
        <v>0.2</v>
      </c>
      <c r="C42">
        <v>0.5</v>
      </c>
      <c r="D42">
        <v>0.99999999999929945</v>
      </c>
      <c r="E42">
        <v>0.30102999566367694</v>
      </c>
      <c r="F42">
        <v>0.30102999566367694</v>
      </c>
      <c r="G42">
        <v>0.30102999565516203</v>
      </c>
      <c r="H42">
        <v>-4.5607941687149491</v>
      </c>
      <c r="I42">
        <v>-5.1685221892622772</v>
      </c>
      <c r="J42">
        <v>-5.7762502098096054</v>
      </c>
      <c r="K42">
        <v>-5.7762502098096054</v>
      </c>
    </row>
    <row r="43" spans="1:11" x14ac:dyDescent="0.3">
      <c r="A43">
        <v>1280</v>
      </c>
      <c r="B43">
        <v>0.2</v>
      </c>
      <c r="C43">
        <v>0.2</v>
      </c>
      <c r="D43">
        <v>0.99999999981228671</v>
      </c>
      <c r="E43">
        <v>0.69897000425449596</v>
      </c>
      <c r="F43">
        <v>0.69897000425449596</v>
      </c>
      <c r="G43">
        <v>0.69897000231568707</v>
      </c>
      <c r="H43">
        <v>-6.531025475591643</v>
      </c>
      <c r="I43">
        <v>-7.0474537241520823</v>
      </c>
      <c r="J43">
        <v>-7.5638819727125206</v>
      </c>
      <c r="K43">
        <v>-7.5638819727125206</v>
      </c>
    </row>
    <row r="44" spans="1:11" x14ac:dyDescent="0.3">
      <c r="A44">
        <v>1280</v>
      </c>
      <c r="B44">
        <v>0.2</v>
      </c>
      <c r="C44">
        <v>0.1</v>
      </c>
      <c r="D44">
        <v>0.99999999727858002</v>
      </c>
      <c r="E44">
        <v>0.99999999881810231</v>
      </c>
      <c r="F44">
        <v>0.99999999881810231</v>
      </c>
      <c r="G44">
        <v>0.99999997291168918</v>
      </c>
      <c r="H44">
        <v>-6.6155575528527413</v>
      </c>
      <c r="I44">
        <v>-7.0915298998321683</v>
      </c>
      <c r="J44">
        <v>-7.5675022468115962</v>
      </c>
      <c r="K44">
        <v>-7.5675022468115962</v>
      </c>
    </row>
    <row r="45" spans="1:11" x14ac:dyDescent="0.3">
      <c r="A45">
        <v>1280</v>
      </c>
      <c r="B45">
        <v>0.2</v>
      </c>
      <c r="C45">
        <v>0.05</v>
      </c>
      <c r="D45">
        <v>0.99999997825127873</v>
      </c>
      <c r="E45">
        <v>1.3010299862186314</v>
      </c>
      <c r="F45">
        <v>1.3010299862186314</v>
      </c>
      <c r="G45">
        <v>1.3010297917563578</v>
      </c>
      <c r="H45">
        <v>-6.2990918982843001</v>
      </c>
      <c r="I45">
        <v>-6.7461578914903537</v>
      </c>
      <c r="J45">
        <v>-7.1932238846964092</v>
      </c>
      <c r="K45">
        <v>-7.1932238846964092</v>
      </c>
    </row>
    <row r="46" spans="1:11" x14ac:dyDescent="0.3">
      <c r="A46">
        <v>1280</v>
      </c>
      <c r="B46">
        <v>0.2</v>
      </c>
      <c r="C46">
        <v>0.02</v>
      </c>
      <c r="D46">
        <v>0.99999980414340839</v>
      </c>
      <c r="E46">
        <v>1.6989699192765735</v>
      </c>
      <c r="F46">
        <v>1.6989699192765735</v>
      </c>
      <c r="G46">
        <v>1.6989682744224248</v>
      </c>
      <c r="H46">
        <v>-5.6914969469496759</v>
      </c>
      <c r="I46">
        <v>-6.1114098370761667</v>
      </c>
      <c r="J46">
        <v>-6.5313227272026593</v>
      </c>
      <c r="K46">
        <v>-6.5313227272026593</v>
      </c>
    </row>
    <row r="47" spans="1:11" x14ac:dyDescent="0.3">
      <c r="A47">
        <v>1280</v>
      </c>
      <c r="B47">
        <v>0.2</v>
      </c>
      <c r="C47">
        <v>0.01</v>
      </c>
      <c r="D47">
        <v>0.99999922024502297</v>
      </c>
      <c r="E47">
        <v>1.9999996613565842</v>
      </c>
      <c r="F47">
        <v>1.9999996613565842</v>
      </c>
      <c r="G47">
        <v>1.9999933424743448</v>
      </c>
      <c r="H47">
        <v>-5.2122726020838233</v>
      </c>
      <c r="I47">
        <v>-5.6174564371085651</v>
      </c>
      <c r="J47">
        <v>-6.022640272133307</v>
      </c>
      <c r="K47">
        <v>-6.022640272133307</v>
      </c>
    </row>
    <row r="48" spans="1:11" x14ac:dyDescent="0.3">
      <c r="A48">
        <v>1280</v>
      </c>
      <c r="B48">
        <v>0.2</v>
      </c>
      <c r="C48">
        <v>5.0000000000000001E-3</v>
      </c>
      <c r="D48">
        <v>0.9999973967129584</v>
      </c>
      <c r="E48">
        <v>2.3010288650693127</v>
      </c>
      <c r="F48">
        <v>2.3010288650693127</v>
      </c>
      <c r="G48">
        <v>2.3010083424987671</v>
      </c>
      <c r="H48">
        <v>-4.7545513857885418</v>
      </c>
      <c r="I48">
        <v>-5.1487178802498734</v>
      </c>
      <c r="J48">
        <v>-5.542884374711206</v>
      </c>
      <c r="K48">
        <v>-5.542884374711206</v>
      </c>
    </row>
    <row r="49" spans="1:11" x14ac:dyDescent="0.3">
      <c r="A49">
        <v>1280</v>
      </c>
      <c r="B49">
        <v>0.2</v>
      </c>
      <c r="C49">
        <v>2E-3</v>
      </c>
      <c r="D49">
        <v>0.99998959743312621</v>
      </c>
      <c r="E49">
        <v>2.6989654865351294</v>
      </c>
      <c r="F49">
        <v>2.6989654865351294</v>
      </c>
      <c r="G49">
        <v>2.6988855848817668</v>
      </c>
      <c r="H49">
        <v>-4.1985325627463697</v>
      </c>
      <c r="I49">
        <v>-4.5825803383188362</v>
      </c>
      <c r="J49">
        <v>-4.9666281138913027</v>
      </c>
      <c r="K49">
        <v>-4.9666281138913027</v>
      </c>
    </row>
    <row r="50" spans="1:11" x14ac:dyDescent="0.3">
      <c r="A50">
        <v>1280</v>
      </c>
      <c r="B50">
        <v>0.2</v>
      </c>
      <c r="C50">
        <v>1E-3</v>
      </c>
      <c r="D50">
        <v>0.99997384198798078</v>
      </c>
      <c r="E50">
        <v>2.9999886395711388</v>
      </c>
      <c r="F50">
        <v>2.9999886395711388</v>
      </c>
      <c r="G50">
        <v>2.9997903108477928</v>
      </c>
      <c r="H50">
        <v>-3.81618386455995</v>
      </c>
      <c r="I50">
        <v>-4.1952813342001658</v>
      </c>
      <c r="J50">
        <v>-4.5743788038403821</v>
      </c>
      <c r="K50">
        <v>-4.5743788038403821</v>
      </c>
    </row>
    <row r="51" spans="1:11" x14ac:dyDescent="0.3">
      <c r="A51">
        <v>1280</v>
      </c>
      <c r="B51">
        <v>0.2</v>
      </c>
      <c r="C51">
        <v>7.1781456528221499E-10</v>
      </c>
      <c r="D51">
        <v>0.8551464793928456</v>
      </c>
      <c r="E51">
        <v>9.0760282456681836</v>
      </c>
      <c r="F51">
        <v>9.0760282456681818</v>
      </c>
      <c r="G51">
        <v>7.6397912207791752</v>
      </c>
      <c r="H51">
        <v>0.15243898148489265</v>
      </c>
      <c r="I51">
        <v>-0.34331597803180136</v>
      </c>
      <c r="J51">
        <v>-0.8390709375484956</v>
      </c>
      <c r="K51">
        <v>-0.8390709375484956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1"/>
  <sheetViews>
    <sheetView zoomScale="85" zoomScaleNormal="85" workbookViewId="0"/>
  </sheetViews>
  <sheetFormatPr defaultRowHeight="14.4" x14ac:dyDescent="0.3"/>
  <cols>
    <col min="11" max="11" width="0" hidden="1" customWidth="1"/>
  </cols>
  <sheetData>
    <row r="1" spans="1:11" x14ac:dyDescent="0.3">
      <c r="A1" t="s">
        <v>0</v>
      </c>
      <c r="B1" t="s">
        <v>66</v>
      </c>
      <c r="C1" s="6" t="s">
        <v>42</v>
      </c>
      <c r="D1" t="s">
        <v>29</v>
      </c>
      <c r="E1" s="1" t="s">
        <v>31</v>
      </c>
      <c r="F1" s="1" t="s">
        <v>32</v>
      </c>
      <c r="G1" s="1" t="s">
        <v>33</v>
      </c>
      <c r="H1" s="5" t="s">
        <v>34</v>
      </c>
      <c r="I1" s="5" t="s">
        <v>35</v>
      </c>
      <c r="J1" s="5" t="s">
        <v>36</v>
      </c>
      <c r="K1" t="s">
        <v>27</v>
      </c>
    </row>
    <row r="2" spans="1:11" x14ac:dyDescent="0.3">
      <c r="A2">
        <v>5</v>
      </c>
      <c r="B2">
        <v>0.4</v>
      </c>
      <c r="C2">
        <v>0.5</v>
      </c>
      <c r="D2">
        <v>0.78917587241190279</v>
      </c>
      <c r="E2">
        <v>0.15574057342594477</v>
      </c>
      <c r="F2">
        <v>7.7348128375962041E-2</v>
      </c>
      <c r="G2">
        <v>3.9084597453335757E-3</v>
      </c>
      <c r="H2">
        <v>-3.1097600175887349E-2</v>
      </c>
      <c r="I2">
        <v>-5.9760274535259283E-2</v>
      </c>
      <c r="J2">
        <v>-8.8422948894631245E-2</v>
      </c>
      <c r="K2">
        <v>-3.1097600175887349E-2</v>
      </c>
    </row>
    <row r="3" spans="1:11" x14ac:dyDescent="0.3">
      <c r="A3">
        <v>5</v>
      </c>
      <c r="B3">
        <v>0.4</v>
      </c>
      <c r="C3">
        <v>0.29892134052533298</v>
      </c>
      <c r="D3">
        <v>0.61830948069986702</v>
      </c>
      <c r="E3">
        <v>0.23141931105830665</v>
      </c>
      <c r="F3">
        <v>9.4381326553488881E-2</v>
      </c>
      <c r="G3">
        <v>-1.2743108254598956E-3</v>
      </c>
      <c r="H3">
        <v>-3.279893468692846E-2</v>
      </c>
      <c r="I3">
        <v>-6.1784152652502894E-2</v>
      </c>
      <c r="J3">
        <v>-9.0769370618077355E-2</v>
      </c>
      <c r="K3">
        <v>-3.279893468692846E-2</v>
      </c>
    </row>
    <row r="4" spans="1:11" x14ac:dyDescent="0.3">
      <c r="A4">
        <v>5</v>
      </c>
      <c r="B4">
        <v>0.4</v>
      </c>
      <c r="C4">
        <v>0.2</v>
      </c>
      <c r="D4">
        <v>0.48255634969852934</v>
      </c>
      <c r="E4">
        <v>0.25551761624383873</v>
      </c>
      <c r="F4">
        <v>8.6672237761010268E-2</v>
      </c>
      <c r="G4">
        <v>-4.163089107840523E-3</v>
      </c>
      <c r="H4">
        <v>-1.7703435826502911E-2</v>
      </c>
      <c r="I4">
        <v>-4.6290684026819545E-2</v>
      </c>
      <c r="J4">
        <v>-7.4877932227136193E-2</v>
      </c>
      <c r="K4">
        <v>-1.7703435826502911E-2</v>
      </c>
    </row>
    <row r="5" spans="1:11" x14ac:dyDescent="0.3">
      <c r="A5">
        <v>5</v>
      </c>
      <c r="B5">
        <v>0.4</v>
      </c>
      <c r="C5">
        <v>0.1</v>
      </c>
      <c r="D5">
        <v>0.27885469810285812</v>
      </c>
      <c r="E5">
        <v>0.22580598765805993</v>
      </c>
      <c r="F5">
        <v>5.480733130192568E-2</v>
      </c>
      <c r="G5">
        <v>-4.5408418011327611E-3</v>
      </c>
      <c r="H5">
        <v>1.2099808432906811E-2</v>
      </c>
      <c r="I5">
        <v>-1.4980076403701872E-2</v>
      </c>
      <c r="J5">
        <v>-4.2059961240310563E-2</v>
      </c>
      <c r="K5">
        <v>1.2099808432906811E-2</v>
      </c>
    </row>
    <row r="6" spans="1:11" x14ac:dyDescent="0.3">
      <c r="A6">
        <v>5</v>
      </c>
      <c r="B6">
        <v>0.4</v>
      </c>
      <c r="C6">
        <v>0.05</v>
      </c>
      <c r="D6">
        <v>0.14180320554456149</v>
      </c>
      <c r="E6">
        <v>0.14190278729759384</v>
      </c>
      <c r="F6">
        <v>2.6318596976474221E-2</v>
      </c>
      <c r="G6">
        <v>-2.5643376626481099E-3</v>
      </c>
      <c r="H6">
        <v>3.0391196936067184E-2</v>
      </c>
      <c r="I6">
        <v>5.548558867408418E-3</v>
      </c>
      <c r="J6">
        <v>-1.9294079201250355E-2</v>
      </c>
      <c r="K6">
        <v>3.0391196936067184E-2</v>
      </c>
    </row>
    <row r="7" spans="1:11" x14ac:dyDescent="0.3">
      <c r="A7">
        <v>5</v>
      </c>
      <c r="B7">
        <v>0.4</v>
      </c>
      <c r="C7">
        <v>0.02</v>
      </c>
      <c r="D7">
        <v>5.1587346773211966E-2</v>
      </c>
      <c r="E7">
        <v>4.8143680998586513E-2</v>
      </c>
      <c r="F7">
        <v>7.7341604895382419E-3</v>
      </c>
      <c r="G7">
        <v>-7.716195886092788E-4</v>
      </c>
      <c r="H7">
        <v>3.6860295680530564E-2</v>
      </c>
      <c r="I7">
        <v>1.5573199056431552E-2</v>
      </c>
      <c r="J7">
        <v>-5.7138975676674607E-3</v>
      </c>
      <c r="K7">
        <v>3.6860295680530564E-2</v>
      </c>
    </row>
    <row r="8" spans="1:11" x14ac:dyDescent="0.3">
      <c r="A8">
        <v>5</v>
      </c>
      <c r="B8">
        <v>0.4</v>
      </c>
      <c r="C8">
        <v>0.01</v>
      </c>
      <c r="D8">
        <v>2.3138881994467318E-2</v>
      </c>
      <c r="E8">
        <v>1.6743284747526892E-2</v>
      </c>
      <c r="F8">
        <v>2.7623646387107941E-3</v>
      </c>
      <c r="G8">
        <v>-2.6113954693418769E-4</v>
      </c>
      <c r="H8">
        <v>3.4913550762052763E-2</v>
      </c>
      <c r="I8">
        <v>1.6406313656669162E-2</v>
      </c>
      <c r="J8">
        <v>-2.100923448714449E-3</v>
      </c>
      <c r="K8">
        <v>3.4913550762052763E-2</v>
      </c>
    </row>
    <row r="9" spans="1:11" x14ac:dyDescent="0.3">
      <c r="A9">
        <v>5</v>
      </c>
      <c r="B9">
        <v>0.4</v>
      </c>
      <c r="C9">
        <v>5.0000000000000001E-3</v>
      </c>
      <c r="D9">
        <v>1.0330016398522594E-2</v>
      </c>
      <c r="E9">
        <v>5.2959790131087226E-3</v>
      </c>
      <c r="F9">
        <v>9.4672280799438071E-4</v>
      </c>
      <c r="G9">
        <v>-8.1713083681368877E-5</v>
      </c>
      <c r="H9">
        <v>3.1001005031657432E-2</v>
      </c>
      <c r="I9">
        <v>1.5127820585899258E-2</v>
      </c>
      <c r="J9">
        <v>-7.4536385985891603E-4</v>
      </c>
      <c r="K9">
        <v>3.1001005031657432E-2</v>
      </c>
    </row>
    <row r="10" spans="1:11" x14ac:dyDescent="0.3">
      <c r="A10">
        <v>5</v>
      </c>
      <c r="B10">
        <v>0.4</v>
      </c>
      <c r="C10">
        <v>2E-3</v>
      </c>
      <c r="D10">
        <v>3.5979655714344664E-3</v>
      </c>
      <c r="E10">
        <v>1.1090035337884682E-3</v>
      </c>
      <c r="F10">
        <v>2.2414665548231431E-4</v>
      </c>
      <c r="G10">
        <v>-1.6529400555544724E-5</v>
      </c>
      <c r="H10">
        <v>2.5387804529835575E-2</v>
      </c>
      <c r="I10">
        <v>1.2601657363020293E-2</v>
      </c>
      <c r="J10">
        <v>-1.8448980379498893E-4</v>
      </c>
      <c r="K10">
        <v>2.5387804529835575E-2</v>
      </c>
    </row>
    <row r="11" spans="1:11" x14ac:dyDescent="0.3">
      <c r="A11">
        <v>5</v>
      </c>
      <c r="B11">
        <v>0.4</v>
      </c>
      <c r="C11">
        <v>1E-3</v>
      </c>
      <c r="D11">
        <v>1.6426121130239644E-3</v>
      </c>
      <c r="E11">
        <v>3.4122919490224476E-4</v>
      </c>
      <c r="F11">
        <v>7.5047321781919973E-5</v>
      </c>
      <c r="G11">
        <v>-4.8231891956484509E-6</v>
      </c>
      <c r="H11">
        <v>2.151780965141966E-2</v>
      </c>
      <c r="I11">
        <v>1.0727085989264839E-2</v>
      </c>
      <c r="J11">
        <v>-6.363767288997997E-5</v>
      </c>
      <c r="K11">
        <v>2.151780965141966E-2</v>
      </c>
    </row>
    <row r="12" spans="1:11" x14ac:dyDescent="0.3">
      <c r="A12">
        <v>20</v>
      </c>
      <c r="B12">
        <v>0.4</v>
      </c>
      <c r="C12">
        <v>0.5</v>
      </c>
      <c r="D12">
        <v>0.95520273944023049</v>
      </c>
      <c r="E12">
        <v>0.27979158988435571</v>
      </c>
      <c r="F12">
        <v>0.22159697946972279</v>
      </c>
      <c r="G12">
        <v>2.712754559817826E-2</v>
      </c>
      <c r="H12">
        <v>-0.25041208601122567</v>
      </c>
      <c r="I12">
        <v>-0.3168542911339669</v>
      </c>
      <c r="J12">
        <v>-0.3832964962567082</v>
      </c>
      <c r="K12">
        <v>-0.25041208601122567</v>
      </c>
    </row>
    <row r="13" spans="1:11" x14ac:dyDescent="0.3">
      <c r="A13">
        <v>20</v>
      </c>
      <c r="B13">
        <v>0.4</v>
      </c>
      <c r="C13">
        <v>0.2</v>
      </c>
      <c r="D13">
        <v>0.81745199801596491</v>
      </c>
      <c r="E13">
        <v>0.60285758361700181</v>
      </c>
      <c r="F13">
        <v>0.38267311755493844</v>
      </c>
      <c r="G13">
        <v>1.3738283706780652E-3</v>
      </c>
      <c r="H13">
        <v>-0.26576935296823112</v>
      </c>
      <c r="I13">
        <v>-0.32842661132354262</v>
      </c>
      <c r="J13">
        <v>-0.39108386967885428</v>
      </c>
      <c r="K13">
        <v>-0.26576935296823112</v>
      </c>
    </row>
    <row r="14" spans="1:11" x14ac:dyDescent="0.3">
      <c r="A14">
        <v>20</v>
      </c>
      <c r="B14">
        <v>0.4</v>
      </c>
      <c r="C14">
        <v>0.1</v>
      </c>
      <c r="D14">
        <v>0.67502845495273522</v>
      </c>
      <c r="E14">
        <v>0.8061165222923109</v>
      </c>
      <c r="F14">
        <v>0.41604950932108997</v>
      </c>
      <c r="G14">
        <v>-1.6577611646342805E-2</v>
      </c>
      <c r="H14">
        <v>-0.18805332330339447</v>
      </c>
      <c r="I14">
        <v>-0.25163928603110008</v>
      </c>
      <c r="J14">
        <v>-0.31522524875880575</v>
      </c>
      <c r="K14">
        <v>-0.18805332330339447</v>
      </c>
    </row>
    <row r="15" spans="1:11" x14ac:dyDescent="0.3">
      <c r="A15">
        <v>20</v>
      </c>
      <c r="B15">
        <v>0.4</v>
      </c>
      <c r="C15">
        <v>9.9044060000000003E-2</v>
      </c>
      <c r="D15">
        <v>0.67294063881241528</v>
      </c>
      <c r="E15">
        <v>0.80865264741703347</v>
      </c>
      <c r="F15">
        <v>0.41605513078259748</v>
      </c>
      <c r="G15">
        <v>-1.6771384147295787E-2</v>
      </c>
      <c r="H15">
        <v>-0.18684808194187644</v>
      </c>
      <c r="I15">
        <v>-0.25045934647509477</v>
      </c>
      <c r="J15">
        <v>-0.31407061100831307</v>
      </c>
      <c r="K15">
        <v>-0.18684808194187644</v>
      </c>
    </row>
    <row r="16" spans="1:11" x14ac:dyDescent="0.3">
      <c r="A16">
        <v>20</v>
      </c>
      <c r="B16">
        <v>0.4</v>
      </c>
      <c r="C16">
        <v>0.05</v>
      </c>
      <c r="D16">
        <v>0.52349945800805131</v>
      </c>
      <c r="E16">
        <v>0.96706721887599201</v>
      </c>
      <c r="F16">
        <v>0.3911530489426927</v>
      </c>
      <c r="G16">
        <v>-2.6332721566085321E-2</v>
      </c>
      <c r="H16">
        <v>-0.10171924057336507</v>
      </c>
      <c r="I16">
        <v>-0.16769956249198928</v>
      </c>
      <c r="J16">
        <v>-0.23367988441061355</v>
      </c>
      <c r="K16">
        <v>-0.10171924057336507</v>
      </c>
    </row>
    <row r="17" spans="1:11" x14ac:dyDescent="0.3">
      <c r="A17">
        <v>20</v>
      </c>
      <c r="B17">
        <v>0.4</v>
      </c>
      <c r="C17">
        <v>0.02</v>
      </c>
      <c r="D17">
        <v>0.34109059331311098</v>
      </c>
      <c r="E17">
        <v>1.1014289058900448</v>
      </c>
      <c r="F17">
        <v>0.30657272588559553</v>
      </c>
      <c r="G17">
        <v>-2.7958094624811941E-2</v>
      </c>
      <c r="H17">
        <v>-3.8915542649465285E-3</v>
      </c>
      <c r="I17">
        <v>-7.4103560008415462E-2</v>
      </c>
      <c r="J17">
        <v>-0.14431556575188439</v>
      </c>
      <c r="K17">
        <v>-3.8915542649465285E-3</v>
      </c>
    </row>
    <row r="18" spans="1:11" x14ac:dyDescent="0.3">
      <c r="A18">
        <v>20</v>
      </c>
      <c r="B18">
        <v>0.4</v>
      </c>
      <c r="C18">
        <v>0.01</v>
      </c>
      <c r="D18">
        <v>0.23103587478927806</v>
      </c>
      <c r="E18">
        <v>1.1336817448567198</v>
      </c>
      <c r="F18">
        <v>0.23068111466453542</v>
      </c>
      <c r="G18">
        <v>-2.3975662659546648E-2</v>
      </c>
      <c r="H18">
        <v>5.2345823449195139E-2</v>
      </c>
      <c r="I18">
        <v>-2.1324603408056822E-2</v>
      </c>
      <c r="J18">
        <v>-9.4995030265308783E-2</v>
      </c>
      <c r="K18">
        <v>5.2345823449195139E-2</v>
      </c>
    </row>
    <row r="19" spans="1:11" x14ac:dyDescent="0.3">
      <c r="A19">
        <v>20</v>
      </c>
      <c r="B19">
        <v>0.4</v>
      </c>
      <c r="C19">
        <v>5.0000000000000001E-3</v>
      </c>
      <c r="D19">
        <v>0.14855658350200587</v>
      </c>
      <c r="E19">
        <v>1.1014609583056121</v>
      </c>
      <c r="F19">
        <v>0.16119737733520439</v>
      </c>
      <c r="G19">
        <v>-1.8352377447026155E-2</v>
      </c>
      <c r="H19">
        <v>9.4094575744276668E-2</v>
      </c>
      <c r="I19">
        <v>1.7065116365492364E-2</v>
      </c>
      <c r="J19">
        <v>-5.9964343013291926E-2</v>
      </c>
      <c r="K19">
        <v>9.4094575744276668E-2</v>
      </c>
    </row>
    <row r="20" spans="1:11" x14ac:dyDescent="0.3">
      <c r="A20">
        <v>20</v>
      </c>
      <c r="B20">
        <v>0.4</v>
      </c>
      <c r="C20">
        <v>2E-3</v>
      </c>
      <c r="D20">
        <v>7.7066216578132757E-2</v>
      </c>
      <c r="E20">
        <v>0.96706372033641608</v>
      </c>
      <c r="F20">
        <v>9.087140043990731E-2</v>
      </c>
      <c r="G20">
        <v>-1.1269753992845945E-2</v>
      </c>
      <c r="H20">
        <v>0.13125899424367229</v>
      </c>
      <c r="I20">
        <v>5.0269292198806263E-2</v>
      </c>
      <c r="J20">
        <v>-3.0720409846059747E-2</v>
      </c>
      <c r="K20">
        <v>0.13125899424367229</v>
      </c>
    </row>
    <row r="21" spans="1:11" x14ac:dyDescent="0.3">
      <c r="A21">
        <v>20</v>
      </c>
      <c r="B21">
        <v>0.4</v>
      </c>
      <c r="C21">
        <v>1E-3</v>
      </c>
      <c r="D21">
        <v>4.4657025977976016E-2</v>
      </c>
      <c r="E21">
        <v>0.81413014650091264</v>
      </c>
      <c r="F21">
        <v>5.5139619303505763E-2</v>
      </c>
      <c r="G21">
        <v>-7.1732218012941443E-3</v>
      </c>
      <c r="H21">
        <v>0.14919271884713853</v>
      </c>
      <c r="I21">
        <v>6.5727920284261623E-2</v>
      </c>
      <c r="J21">
        <v>-1.7736878278615288E-2</v>
      </c>
      <c r="K21">
        <v>0.14919271884713853</v>
      </c>
    </row>
    <row r="22" spans="1:11" x14ac:dyDescent="0.3">
      <c r="A22">
        <v>80</v>
      </c>
      <c r="B22">
        <v>0.4</v>
      </c>
      <c r="C22">
        <v>0.5</v>
      </c>
      <c r="D22">
        <v>0.9997021053021008</v>
      </c>
      <c r="E22">
        <v>0.30090060170320987</v>
      </c>
      <c r="F22">
        <v>0.29985028290741561</v>
      </c>
      <c r="G22">
        <v>0.16432575259550947</v>
      </c>
      <c r="H22">
        <v>-1.1094225309297976</v>
      </c>
      <c r="I22">
        <v>-1.2857129225918662</v>
      </c>
      <c r="J22">
        <v>-1.4620033142539344</v>
      </c>
      <c r="K22">
        <v>-1.1094225309297976</v>
      </c>
    </row>
    <row r="23" spans="1:11" x14ac:dyDescent="0.3">
      <c r="A23">
        <v>80</v>
      </c>
      <c r="B23">
        <v>0.4</v>
      </c>
      <c r="C23">
        <v>0.2</v>
      </c>
      <c r="D23">
        <v>0.99611322463080243</v>
      </c>
      <c r="E23">
        <v>0.69727868752232669</v>
      </c>
      <c r="F23">
        <v>0.6855764876155751</v>
      </c>
      <c r="G23">
        <v>0.17230579457944145</v>
      </c>
      <c r="H23">
        <v>-1.4102667684784833</v>
      </c>
      <c r="I23">
        <v>-1.5608057312460439</v>
      </c>
      <c r="J23">
        <v>-1.7113446940136046</v>
      </c>
      <c r="K23">
        <v>-1.4102667684784833</v>
      </c>
    </row>
    <row r="24" spans="1:11" x14ac:dyDescent="0.3">
      <c r="A24">
        <v>80</v>
      </c>
      <c r="B24">
        <v>0.4</v>
      </c>
      <c r="C24">
        <v>0.1</v>
      </c>
      <c r="D24">
        <v>0.98751301086595211</v>
      </c>
      <c r="E24">
        <v>0.99454268303020432</v>
      </c>
      <c r="F24">
        <v>0.95892584256144953</v>
      </c>
      <c r="G24">
        <v>0.10900313717352816</v>
      </c>
      <c r="H24">
        <v>-1.2873192552427277</v>
      </c>
      <c r="I24">
        <v>-1.4299356353412733</v>
      </c>
      <c r="J24">
        <v>-1.5725520154398192</v>
      </c>
      <c r="K24">
        <v>-1.2873192552427277</v>
      </c>
    </row>
    <row r="25" spans="1:11" x14ac:dyDescent="0.3">
      <c r="A25">
        <v>80</v>
      </c>
      <c r="B25">
        <v>0.4</v>
      </c>
      <c r="C25">
        <v>0.05</v>
      </c>
      <c r="D25">
        <v>0.9703361335465408</v>
      </c>
      <c r="E25">
        <v>1.2879515431985158</v>
      </c>
      <c r="F25">
        <v>1.2050877298482749</v>
      </c>
      <c r="G25">
        <v>2.9155947799617721E-2</v>
      </c>
      <c r="H25">
        <v>-1.0864786408574691</v>
      </c>
      <c r="I25">
        <v>-1.2261510432420053</v>
      </c>
      <c r="J25">
        <v>-1.3658234456265419</v>
      </c>
      <c r="K25">
        <v>-1.0864786408574691</v>
      </c>
    </row>
    <row r="26" spans="1:11" x14ac:dyDescent="0.3">
      <c r="A26">
        <v>80</v>
      </c>
      <c r="B26">
        <v>0.4</v>
      </c>
      <c r="C26">
        <v>0.02</v>
      </c>
      <c r="D26">
        <v>0.92983058025273135</v>
      </c>
      <c r="E26">
        <v>1.667370182036233</v>
      </c>
      <c r="F26">
        <v>1.470025703180593</v>
      </c>
      <c r="G26">
        <v>-6.8680263888026283E-2</v>
      </c>
      <c r="H26">
        <v>-0.80758394807052114</v>
      </c>
      <c r="I26">
        <v>-0.94820654906814683</v>
      </c>
      <c r="J26">
        <v>-1.088829150065773</v>
      </c>
      <c r="K26">
        <v>-0.80758394807052114</v>
      </c>
    </row>
    <row r="27" spans="1:11" x14ac:dyDescent="0.3">
      <c r="A27">
        <v>80</v>
      </c>
      <c r="B27">
        <v>0.4</v>
      </c>
      <c r="C27">
        <v>0.01</v>
      </c>
      <c r="D27">
        <v>0.88375907376923402</v>
      </c>
      <c r="E27">
        <v>1.9463224637752461</v>
      </c>
      <c r="F27">
        <v>1.6119540728699495</v>
      </c>
      <c r="G27">
        <v>-0.12511968485388725</v>
      </c>
      <c r="H27">
        <v>-0.61384903070494312</v>
      </c>
      <c r="I27">
        <v>-0.75767953163414536</v>
      </c>
      <c r="J27">
        <v>-0.90151003256334794</v>
      </c>
      <c r="K27">
        <v>-0.61384903070494312</v>
      </c>
    </row>
    <row r="28" spans="1:11" x14ac:dyDescent="0.3">
      <c r="A28">
        <v>80</v>
      </c>
      <c r="B28">
        <v>0.4</v>
      </c>
      <c r="C28">
        <v>5.0000000000000001E-3</v>
      </c>
      <c r="D28">
        <v>0.82450045113418846</v>
      </c>
      <c r="E28">
        <v>2.2171885796651605</v>
      </c>
      <c r="F28">
        <v>1.6958524548234459</v>
      </c>
      <c r="G28">
        <v>-0.16305554363854219</v>
      </c>
      <c r="H28">
        <v>-0.44161643951948215</v>
      </c>
      <c r="I28">
        <v>-0.59015483799953294</v>
      </c>
      <c r="J28">
        <v>-0.73869323647958374</v>
      </c>
      <c r="K28">
        <v>-0.44161643951948215</v>
      </c>
    </row>
    <row r="29" spans="1:11" x14ac:dyDescent="0.3">
      <c r="A29">
        <v>80</v>
      </c>
      <c r="B29">
        <v>0.4</v>
      </c>
      <c r="C29">
        <v>2.6956900000000002E-3</v>
      </c>
      <c r="D29">
        <v>0.76195686674012375</v>
      </c>
      <c r="E29">
        <v>2.4511843861426033</v>
      </c>
      <c r="F29">
        <v>1.7196509428752424</v>
      </c>
      <c r="G29">
        <v>-0.18172677760396344</v>
      </c>
      <c r="H29">
        <v>-0.30654376931086152</v>
      </c>
      <c r="I29">
        <v>-0.46021539321909122</v>
      </c>
      <c r="J29">
        <v>-0.61388701712732086</v>
      </c>
      <c r="K29">
        <v>-0.30654376931086152</v>
      </c>
    </row>
    <row r="30" spans="1:11" x14ac:dyDescent="0.3">
      <c r="A30">
        <v>80</v>
      </c>
      <c r="B30">
        <v>0.4</v>
      </c>
      <c r="C30">
        <v>2E-3</v>
      </c>
      <c r="D30">
        <v>0.72906344571950177</v>
      </c>
      <c r="E30">
        <v>2.5616227156992011</v>
      </c>
      <c r="F30">
        <v>1.7142462561185352</v>
      </c>
      <c r="G30">
        <v>-0.18614549444382311</v>
      </c>
      <c r="H30">
        <v>-0.2472071149034199</v>
      </c>
      <c r="I30">
        <v>-0.40360702821453276</v>
      </c>
      <c r="J30">
        <v>-0.56000694152564545</v>
      </c>
      <c r="K30">
        <v>-0.2472071149034199</v>
      </c>
    </row>
    <row r="31" spans="1:11" x14ac:dyDescent="0.3">
      <c r="A31">
        <v>80</v>
      </c>
      <c r="B31">
        <v>0.4</v>
      </c>
      <c r="C31">
        <v>1E-3</v>
      </c>
      <c r="D31">
        <v>0.64791671828733521</v>
      </c>
      <c r="E31">
        <v>2.8112520129884242</v>
      </c>
      <c r="F31">
        <v>1.6621646947970858</v>
      </c>
      <c r="G31">
        <v>-0.18667105455485719</v>
      </c>
      <c r="H31">
        <v>-0.12321171829961475</v>
      </c>
      <c r="I31">
        <v>-0.28643368184532519</v>
      </c>
      <c r="J31">
        <v>-0.44965564539103564</v>
      </c>
      <c r="K31">
        <v>-0.12321171829961475</v>
      </c>
    </row>
    <row r="32" spans="1:11" x14ac:dyDescent="0.3">
      <c r="A32">
        <v>320</v>
      </c>
      <c r="B32">
        <v>0.4</v>
      </c>
      <c r="C32">
        <v>0.5</v>
      </c>
      <c r="D32">
        <v>0.99999999999712119</v>
      </c>
      <c r="E32">
        <v>0.30102999566273092</v>
      </c>
      <c r="F32">
        <v>0.30102999562950722</v>
      </c>
      <c r="G32">
        <v>0.298719468554762</v>
      </c>
      <c r="H32">
        <v>-4.315284905705429</v>
      </c>
      <c r="I32">
        <v>-4.8923242683764503</v>
      </c>
      <c r="J32">
        <v>-5.4693636310474698</v>
      </c>
      <c r="K32">
        <v>-4.315284905705429</v>
      </c>
    </row>
    <row r="33" spans="1:11" x14ac:dyDescent="0.3">
      <c r="A33">
        <v>320</v>
      </c>
      <c r="B33">
        <v>0.4</v>
      </c>
      <c r="C33">
        <v>0.2</v>
      </c>
      <c r="D33">
        <v>0.99999999954108831</v>
      </c>
      <c r="E33">
        <v>0.69897000413671595</v>
      </c>
      <c r="F33">
        <v>0.69896999957498196</v>
      </c>
      <c r="G33">
        <v>0.6662283622040176</v>
      </c>
      <c r="H33">
        <v>-6.2592616074909584</v>
      </c>
      <c r="I33">
        <v>-6.7562781511786492</v>
      </c>
      <c r="J33">
        <v>-7.2532946948663408</v>
      </c>
      <c r="K33">
        <v>-6.2592616074909584</v>
      </c>
    </row>
    <row r="34" spans="1:11" x14ac:dyDescent="0.3">
      <c r="A34">
        <v>320</v>
      </c>
      <c r="B34">
        <v>0.4</v>
      </c>
      <c r="C34">
        <v>0.1</v>
      </c>
      <c r="D34">
        <v>0.99999999457292477</v>
      </c>
      <c r="E34">
        <v>0.99999999764305114</v>
      </c>
      <c r="F34">
        <v>0.99999994760717226</v>
      </c>
      <c r="G34">
        <v>0.89642018796591916</v>
      </c>
      <c r="H34">
        <v>-6.3757413343472971</v>
      </c>
      <c r="I34">
        <v>-6.8367251675966934</v>
      </c>
      <c r="J34">
        <v>-7.2977090008460896</v>
      </c>
      <c r="K34">
        <v>-6.3757413343472971</v>
      </c>
    </row>
    <row r="35" spans="1:11" x14ac:dyDescent="0.3">
      <c r="A35">
        <v>320</v>
      </c>
      <c r="B35">
        <v>0.4</v>
      </c>
      <c r="C35">
        <v>0.05</v>
      </c>
      <c r="D35">
        <v>0.99999996215682341</v>
      </c>
      <c r="E35">
        <v>1.3010299792288982</v>
      </c>
      <c r="F35">
        <v>1.3010296499642739</v>
      </c>
      <c r="G35">
        <v>1.0629139699411339</v>
      </c>
      <c r="H35">
        <v>-6.0946211209107037</v>
      </c>
      <c r="I35">
        <v>-6.5296594209189154</v>
      </c>
      <c r="J35">
        <v>-6.9646977209271279</v>
      </c>
      <c r="K35">
        <v>-6.0946211209107037</v>
      </c>
    </row>
    <row r="36" spans="1:11" x14ac:dyDescent="0.3">
      <c r="A36">
        <v>320</v>
      </c>
      <c r="B36">
        <v>0.4</v>
      </c>
      <c r="C36">
        <v>0.02</v>
      </c>
      <c r="D36">
        <v>0.99999969830683766</v>
      </c>
      <c r="E36">
        <v>1.6989698733123235</v>
      </c>
      <c r="F36">
        <v>1.6989673962212488</v>
      </c>
      <c r="G36">
        <v>1.1626966495218212</v>
      </c>
      <c r="H36">
        <v>-5.5263849505755447</v>
      </c>
      <c r="I36">
        <v>-5.936916474660082</v>
      </c>
      <c r="J36">
        <v>-6.3474479987446211</v>
      </c>
      <c r="K36">
        <v>-5.5263849505755447</v>
      </c>
    </row>
    <row r="37" spans="1:11" x14ac:dyDescent="0.3">
      <c r="A37">
        <v>320</v>
      </c>
      <c r="B37">
        <v>0.4</v>
      </c>
      <c r="C37">
        <v>0.01</v>
      </c>
      <c r="D37">
        <v>0.99999887361616735</v>
      </c>
      <c r="E37">
        <v>1.9999995108174415</v>
      </c>
      <c r="F37">
        <v>1.9999905628825123</v>
      </c>
      <c r="G37">
        <v>1.1419373612029355</v>
      </c>
      <c r="H37">
        <v>-5.0701144736377879</v>
      </c>
      <c r="I37">
        <v>-5.4673118884948231</v>
      </c>
      <c r="J37">
        <v>-5.8645093033518583</v>
      </c>
      <c r="K37">
        <v>-5.0701144736377879</v>
      </c>
    </row>
    <row r="38" spans="1:11" x14ac:dyDescent="0.3">
      <c r="A38">
        <v>320</v>
      </c>
      <c r="B38">
        <v>0.4</v>
      </c>
      <c r="C38">
        <v>5.0000000000000001E-3</v>
      </c>
      <c r="D38">
        <v>0.99999641542371942</v>
      </c>
      <c r="E38">
        <v>2.3010284388994924</v>
      </c>
      <c r="F38">
        <v>2.3010006784578616</v>
      </c>
      <c r="G38">
        <v>1.0437450393918932</v>
      </c>
      <c r="H38">
        <v>-4.6302218162833766</v>
      </c>
      <c r="I38">
        <v>-5.0174425009304642</v>
      </c>
      <c r="J38">
        <v>-5.4046631855775518</v>
      </c>
      <c r="K38">
        <v>-4.6302218162833766</v>
      </c>
    </row>
    <row r="39" spans="1:11" x14ac:dyDescent="0.3">
      <c r="A39">
        <v>320</v>
      </c>
      <c r="B39">
        <v>0.4</v>
      </c>
      <c r="C39">
        <v>2E-3</v>
      </c>
      <c r="D39">
        <v>0.99998631222793655</v>
      </c>
      <c r="E39">
        <v>2.6989640597714581</v>
      </c>
      <c r="F39">
        <v>2.6988605560990409</v>
      </c>
      <c r="G39">
        <v>0.81620240471067174</v>
      </c>
      <c r="H39">
        <v>-4.0914980694807044</v>
      </c>
      <c r="I39">
        <v>-4.4695861613098895</v>
      </c>
      <c r="J39">
        <v>-4.8476742531390737</v>
      </c>
      <c r="K39">
        <v>-4.0914980694807044</v>
      </c>
    </row>
    <row r="40" spans="1:11" x14ac:dyDescent="0.3">
      <c r="A40">
        <v>320</v>
      </c>
      <c r="B40">
        <v>0.4</v>
      </c>
      <c r="C40">
        <v>1E-3</v>
      </c>
      <c r="D40">
        <v>0.99996640997017938</v>
      </c>
      <c r="E40">
        <v>2.9999854117903912</v>
      </c>
      <c r="F40">
        <v>2.9997343820597799</v>
      </c>
      <c r="G40">
        <v>0.59137396004167675</v>
      </c>
      <c r="H40">
        <v>-3.7185477072532023</v>
      </c>
      <c r="I40">
        <v>-4.0922147327839911</v>
      </c>
      <c r="J40">
        <v>-4.4658817583147812</v>
      </c>
      <c r="K40">
        <v>-3.7185477072532023</v>
      </c>
    </row>
    <row r="41" spans="1:11" x14ac:dyDescent="0.3">
      <c r="A41">
        <v>320</v>
      </c>
      <c r="B41">
        <v>0.4</v>
      </c>
      <c r="C41">
        <v>1.8899999999999999E-9</v>
      </c>
      <c r="D41">
        <v>0.86226332697439001</v>
      </c>
      <c r="E41">
        <v>8.6591781118057067</v>
      </c>
      <c r="F41">
        <v>7.3479072819061173</v>
      </c>
      <c r="G41">
        <v>-0.79689586844136207</v>
      </c>
      <c r="H41">
        <v>9.1062456711335726E-2</v>
      </c>
      <c r="I41">
        <v>-0.3849439695712995</v>
      </c>
      <c r="J41">
        <v>-0.86095039585393474</v>
      </c>
      <c r="K41">
        <v>9.1062456711335726E-2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zoomScale="85" zoomScaleNormal="85" workbookViewId="0"/>
  </sheetViews>
  <sheetFormatPr defaultRowHeight="14.4" x14ac:dyDescent="0.3"/>
  <cols>
    <col min="11" max="11" width="0" hidden="1" customWidth="1"/>
  </cols>
  <sheetData>
    <row r="1" spans="1:11" x14ac:dyDescent="0.3">
      <c r="A1" t="s">
        <v>0</v>
      </c>
      <c r="B1" t="s">
        <v>66</v>
      </c>
      <c r="C1" s="6" t="s">
        <v>42</v>
      </c>
      <c r="D1" t="s">
        <v>30</v>
      </c>
      <c r="E1" s="1" t="s">
        <v>31</v>
      </c>
      <c r="F1" s="1" t="s">
        <v>32</v>
      </c>
      <c r="G1" s="1" t="s">
        <v>33</v>
      </c>
      <c r="H1" s="5" t="s">
        <v>34</v>
      </c>
      <c r="I1" s="5" t="s">
        <v>35</v>
      </c>
      <c r="J1" s="5" t="s">
        <v>36</v>
      </c>
      <c r="K1" t="s">
        <v>18</v>
      </c>
    </row>
    <row r="2" spans="1:11" x14ac:dyDescent="0.3">
      <c r="A2">
        <v>5</v>
      </c>
      <c r="B2">
        <v>0.8</v>
      </c>
      <c r="C2">
        <v>0.5</v>
      </c>
      <c r="D2">
        <v>0.92592592592592604</v>
      </c>
      <c r="E2">
        <v>0.1863536466208793</v>
      </c>
      <c r="F2">
        <v>3.6351143641959544E-2</v>
      </c>
      <c r="G2">
        <v>-0.10417431267609353</v>
      </c>
      <c r="H2">
        <v>-0.17115776502619134</v>
      </c>
      <c r="I2">
        <v>-0.22600326567659415</v>
      </c>
      <c r="J2">
        <v>-0.28084876632699707</v>
      </c>
      <c r="K2">
        <v>-0.28084876632699707</v>
      </c>
    </row>
    <row r="3" spans="1:11" x14ac:dyDescent="0.3">
      <c r="A3">
        <v>5</v>
      </c>
      <c r="B3">
        <v>0.8</v>
      </c>
      <c r="C3">
        <v>0.2</v>
      </c>
      <c r="D3">
        <v>0.77787224946561195</v>
      </c>
      <c r="E3">
        <v>0.33523870373529691</v>
      </c>
      <c r="F3">
        <v>-3.3012409178156399E-3</v>
      </c>
      <c r="G3">
        <v>-0.18542874009515053</v>
      </c>
      <c r="H3">
        <v>-0.2125775330909038</v>
      </c>
      <c r="I3">
        <v>-0.26989580564583915</v>
      </c>
      <c r="J3">
        <v>-0.32721407820077464</v>
      </c>
      <c r="K3">
        <v>-0.32721407820077464</v>
      </c>
    </row>
    <row r="4" spans="1:11" x14ac:dyDescent="0.3">
      <c r="A4">
        <v>5</v>
      </c>
      <c r="B4">
        <v>0.8</v>
      </c>
      <c r="C4">
        <v>0.155168173336934</v>
      </c>
      <c r="D4">
        <v>0.71802533303210792</v>
      </c>
      <c r="E4">
        <v>0.3433510104780686</v>
      </c>
      <c r="F4">
        <v>-1.7955250598255423E-2</v>
      </c>
      <c r="G4">
        <v>-0.18252415079127976</v>
      </c>
      <c r="H4">
        <v>-0.18518432742202159</v>
      </c>
      <c r="I4">
        <v>-0.24227919209346471</v>
      </c>
      <c r="J4">
        <v>-0.29937405676490786</v>
      </c>
      <c r="K4">
        <v>-0.29937405676490786</v>
      </c>
    </row>
    <row r="5" spans="1:11" x14ac:dyDescent="0.3">
      <c r="A5">
        <v>5</v>
      </c>
      <c r="B5">
        <v>0.8</v>
      </c>
      <c r="C5">
        <v>0.1</v>
      </c>
      <c r="D5">
        <v>0.59458472684538255</v>
      </c>
      <c r="E5">
        <v>0.31992317043316415</v>
      </c>
      <c r="F5">
        <v>-3.3870055931272125E-2</v>
      </c>
      <c r="G5">
        <v>-0.15666038708589977</v>
      </c>
      <c r="H5">
        <v>-0.12223117307592801</v>
      </c>
      <c r="I5">
        <v>-0.17825898072119822</v>
      </c>
      <c r="J5">
        <v>-0.23428678836646855</v>
      </c>
      <c r="K5">
        <v>-0.23428678836646855</v>
      </c>
    </row>
    <row r="6" spans="1:11" x14ac:dyDescent="0.3">
      <c r="A6">
        <v>5</v>
      </c>
      <c r="B6">
        <v>0.8</v>
      </c>
      <c r="C6">
        <v>0.05</v>
      </c>
      <c r="D6">
        <v>0.37443588731063271</v>
      </c>
      <c r="E6">
        <v>0.21389981275963388</v>
      </c>
      <c r="F6">
        <v>-3.1727554087204804E-2</v>
      </c>
      <c r="G6">
        <v>-9.3106529555276776E-2</v>
      </c>
      <c r="H6">
        <v>-2.3072892913248572E-2</v>
      </c>
      <c r="I6">
        <v>-7.5865854973032276E-2</v>
      </c>
      <c r="J6">
        <v>-0.12865881703281598</v>
      </c>
      <c r="K6">
        <v>-0.12865881703281598</v>
      </c>
    </row>
    <row r="7" spans="1:11" x14ac:dyDescent="0.3">
      <c r="A7">
        <v>5</v>
      </c>
      <c r="B7">
        <v>0.8</v>
      </c>
      <c r="C7">
        <v>0.02</v>
      </c>
      <c r="D7">
        <v>0.14650287523306982</v>
      </c>
      <c r="E7">
        <v>7.5467730137675548E-2</v>
      </c>
      <c r="F7">
        <v>-1.2313962935731906E-2</v>
      </c>
      <c r="G7">
        <v>-3.0791088295402117E-2</v>
      </c>
      <c r="H7">
        <v>5.0956806614175731E-2</v>
      </c>
      <c r="I7">
        <v>4.7147983264946916E-3</v>
      </c>
      <c r="J7">
        <v>-4.1527209961186362E-2</v>
      </c>
      <c r="K7">
        <v>-4.1527209961186362E-2</v>
      </c>
    </row>
    <row r="8" spans="1:11" x14ac:dyDescent="0.3">
      <c r="A8">
        <v>5</v>
      </c>
      <c r="B8">
        <v>0.8</v>
      </c>
      <c r="C8">
        <v>0.01</v>
      </c>
      <c r="D8">
        <v>6.0910376543346148E-2</v>
      </c>
      <c r="E8">
        <v>2.6264251221854079E-2</v>
      </c>
      <c r="F8">
        <v>-4.2407419433741315E-3</v>
      </c>
      <c r="G8">
        <v>-1.083773082538479E-2</v>
      </c>
      <c r="H8">
        <v>6.5909985284376138E-2</v>
      </c>
      <c r="I8">
        <v>2.5529013430386209E-2</v>
      </c>
      <c r="J8">
        <v>-1.4851958423603732E-2</v>
      </c>
      <c r="K8">
        <v>-1.4851958423603732E-2</v>
      </c>
    </row>
    <row r="9" spans="1:11" x14ac:dyDescent="0.3">
      <c r="A9">
        <v>5</v>
      </c>
      <c r="B9">
        <v>0.8</v>
      </c>
      <c r="C9">
        <v>5.0000000000000001E-3</v>
      </c>
      <c r="D9">
        <v>2.4030027949376219E-2</v>
      </c>
      <c r="E9">
        <v>8.1982009966007231E-3</v>
      </c>
      <c r="F9">
        <v>-1.2571482579775296E-3</v>
      </c>
      <c r="G9">
        <v>-3.492983555586116E-3</v>
      </c>
      <c r="H9">
        <v>6.4081319199109407E-2</v>
      </c>
      <c r="I9">
        <v>2.9572774372411414E-2</v>
      </c>
      <c r="J9">
        <v>-4.9357704542865744E-3</v>
      </c>
      <c r="K9">
        <v>-4.9357704542865744E-3</v>
      </c>
    </row>
    <row r="10" spans="1:11" x14ac:dyDescent="0.3">
      <c r="A10">
        <v>5</v>
      </c>
      <c r="B10">
        <v>0.8</v>
      </c>
      <c r="C10">
        <v>2E-3</v>
      </c>
      <c r="D10">
        <v>7.0581825811474484E-3</v>
      </c>
      <c r="E10">
        <v>1.6743402277329092E-3</v>
      </c>
      <c r="F10">
        <v>-2.2832802907211134E-4</v>
      </c>
      <c r="G10">
        <v>-7.458430116903756E-4</v>
      </c>
      <c r="H10">
        <v>5.3879962516495843E-2</v>
      </c>
      <c r="I10">
        <v>2.6386480872654629E-2</v>
      </c>
      <c r="J10">
        <v>-1.1070007711865859E-3</v>
      </c>
      <c r="K10">
        <v>-1.1070007711865859E-3</v>
      </c>
    </row>
    <row r="11" spans="1:11" x14ac:dyDescent="0.3">
      <c r="A11">
        <v>5</v>
      </c>
      <c r="B11">
        <v>0.8</v>
      </c>
      <c r="C11">
        <v>1E-3</v>
      </c>
      <c r="D11">
        <v>2.875994977112481E-3</v>
      </c>
      <c r="E11">
        <v>5.0550353428395218E-4</v>
      </c>
      <c r="F11">
        <v>-6.136470595996047E-5</v>
      </c>
      <c r="G11">
        <v>-2.3145914355064418E-4</v>
      </c>
      <c r="H11">
        <v>4.5603731888636347E-2</v>
      </c>
      <c r="I11">
        <v>2.2623509901247438E-2</v>
      </c>
      <c r="J11">
        <v>-3.5671208614147559E-4</v>
      </c>
      <c r="K11">
        <v>-3.5671208614147559E-4</v>
      </c>
    </row>
    <row r="12" spans="1:11" x14ac:dyDescent="0.3">
      <c r="A12">
        <v>20</v>
      </c>
      <c r="B12">
        <v>0.8</v>
      </c>
      <c r="C12">
        <v>0.5</v>
      </c>
      <c r="D12">
        <v>0.99899614628692357</v>
      </c>
      <c r="E12">
        <v>0.29758436216096185</v>
      </c>
      <c r="F12">
        <v>0.16629639754781472</v>
      </c>
      <c r="G12">
        <v>-0.27242973139360771</v>
      </c>
      <c r="H12">
        <v>-0.89856354471181044</v>
      </c>
      <c r="I12">
        <v>-1.0484582138714227</v>
      </c>
      <c r="J12">
        <v>-1.1983528830310348</v>
      </c>
      <c r="K12">
        <v>-1.1983528830310348</v>
      </c>
    </row>
    <row r="13" spans="1:11" x14ac:dyDescent="0.3">
      <c r="A13">
        <v>20</v>
      </c>
      <c r="B13">
        <v>0.8</v>
      </c>
      <c r="C13">
        <v>0.2</v>
      </c>
      <c r="D13">
        <v>0.99315747240287444</v>
      </c>
      <c r="E13">
        <v>0.67707631994906115</v>
      </c>
      <c r="F13">
        <v>0.19145071548515102</v>
      </c>
      <c r="G13">
        <v>-0.64952004463909963</v>
      </c>
      <c r="H13">
        <v>-1.2387149648636371</v>
      </c>
      <c r="I13">
        <v>-1.3769080422729798</v>
      </c>
      <c r="J13">
        <v>-1.515101119682323</v>
      </c>
      <c r="K13">
        <v>-1.515101119682323</v>
      </c>
    </row>
    <row r="14" spans="1:11" x14ac:dyDescent="0.3">
      <c r="A14">
        <v>20</v>
      </c>
      <c r="B14">
        <v>0.8</v>
      </c>
      <c r="C14">
        <v>0.1</v>
      </c>
      <c r="D14">
        <v>0.9817526093400849</v>
      </c>
      <c r="E14">
        <v>0.94300702100410172</v>
      </c>
      <c r="F14">
        <v>0.11943923083007302</v>
      </c>
      <c r="G14">
        <v>-0.79398782179482641</v>
      </c>
      <c r="H14">
        <v>-1.1560329787082519</v>
      </c>
      <c r="I14">
        <v>-1.2902851688918098</v>
      </c>
      <c r="J14">
        <v>-1.4245373590753678</v>
      </c>
      <c r="K14">
        <v>-1.4245373590753678</v>
      </c>
    </row>
    <row r="15" spans="1:11" x14ac:dyDescent="0.3">
      <c r="A15">
        <v>20</v>
      </c>
      <c r="B15">
        <v>0.8</v>
      </c>
      <c r="C15">
        <v>0.05</v>
      </c>
      <c r="D15">
        <v>0.95992819402088403</v>
      </c>
      <c r="E15">
        <v>1.1767517345634033</v>
      </c>
      <c r="F15">
        <v>1.6657191863912901E-2</v>
      </c>
      <c r="G15">
        <v>-0.82430659980319965</v>
      </c>
      <c r="H15">
        <v>-0.97616167449876667</v>
      </c>
      <c r="I15">
        <v>-1.1090693461266701</v>
      </c>
      <c r="J15">
        <v>-1.2419770177545737</v>
      </c>
      <c r="K15">
        <v>-1.2419770177545737</v>
      </c>
    </row>
    <row r="16" spans="1:11" x14ac:dyDescent="0.3">
      <c r="A16">
        <v>20</v>
      </c>
      <c r="B16">
        <v>0.8</v>
      </c>
      <c r="C16">
        <v>0.02</v>
      </c>
      <c r="D16">
        <v>0.90713066835995304</v>
      </c>
      <c r="E16">
        <v>1.40775063885042</v>
      </c>
      <c r="F16">
        <v>-0.1092331451947105</v>
      </c>
      <c r="G16">
        <v>-0.74768553789644376</v>
      </c>
      <c r="H16">
        <v>-0.7017545224720193</v>
      </c>
      <c r="I16">
        <v>-0.83575420296457048</v>
      </c>
      <c r="J16">
        <v>-0.96975388345712155</v>
      </c>
      <c r="K16">
        <v>-0.96975388345712155</v>
      </c>
    </row>
    <row r="17" spans="1:11" x14ac:dyDescent="0.3">
      <c r="A17">
        <v>20</v>
      </c>
      <c r="B17">
        <v>0.8</v>
      </c>
      <c r="C17">
        <v>0.01</v>
      </c>
      <c r="D17">
        <v>0.84390094746076549</v>
      </c>
      <c r="E17">
        <v>1.5003710882937358</v>
      </c>
      <c r="F17">
        <v>-0.17184744335449109</v>
      </c>
      <c r="G17">
        <v>-0.64343269812946802</v>
      </c>
      <c r="H17">
        <v>-0.50209702330628636</v>
      </c>
      <c r="I17">
        <v>-0.638523343406321</v>
      </c>
      <c r="J17">
        <v>-0.77494966350635563</v>
      </c>
      <c r="K17">
        <v>-0.77494966350635563</v>
      </c>
    </row>
    <row r="18" spans="1:11" x14ac:dyDescent="0.3">
      <c r="A18">
        <v>20</v>
      </c>
      <c r="B18">
        <v>0.8</v>
      </c>
      <c r="C18">
        <v>6.7208930000000004E-3</v>
      </c>
      <c r="D18">
        <v>0.79776403761449077</v>
      </c>
      <c r="E18">
        <v>1.5151314833977974</v>
      </c>
      <c r="F18">
        <v>-0.1921246332953585</v>
      </c>
      <c r="G18">
        <v>-0.57659332841499655</v>
      </c>
      <c r="H18">
        <v>-0.39605916691590531</v>
      </c>
      <c r="I18">
        <v>-0.53434218623301977</v>
      </c>
      <c r="J18">
        <v>-0.67262520555013428</v>
      </c>
      <c r="K18">
        <v>-0.67262520555013428</v>
      </c>
    </row>
    <row r="19" spans="1:11" x14ac:dyDescent="0.3">
      <c r="A19">
        <v>20</v>
      </c>
      <c r="B19">
        <v>0.8</v>
      </c>
      <c r="C19">
        <v>5.0000000000000001E-3</v>
      </c>
      <c r="D19">
        <v>0.75888384566462863</v>
      </c>
      <c r="E19">
        <v>1.5068511427151812</v>
      </c>
      <c r="F19">
        <v>-0.20011341129004945</v>
      </c>
      <c r="G19">
        <v>-0.52606995506821841</v>
      </c>
      <c r="H19">
        <v>-0.32193255446258962</v>
      </c>
      <c r="I19">
        <v>-0.46177265827482988</v>
      </c>
      <c r="J19">
        <v>-0.60161276208707015</v>
      </c>
      <c r="K19">
        <v>-0.60161276208707015</v>
      </c>
    </row>
    <row r="20" spans="1:11" x14ac:dyDescent="0.3">
      <c r="A20">
        <v>20</v>
      </c>
      <c r="B20">
        <v>0.8</v>
      </c>
      <c r="C20">
        <v>2E-3</v>
      </c>
      <c r="D20">
        <v>0.6179944443490677</v>
      </c>
      <c r="E20">
        <v>1.3794585277536291</v>
      </c>
      <c r="F20">
        <v>-0.19302818092349669</v>
      </c>
      <c r="G20">
        <v>-0.37633908665411675</v>
      </c>
      <c r="H20">
        <v>-0.12054528760234501</v>
      </c>
      <c r="I20">
        <v>-0.26589605947434103</v>
      </c>
      <c r="J20">
        <v>-0.41124683134633716</v>
      </c>
      <c r="K20">
        <v>-0.41124683134633716</v>
      </c>
    </row>
    <row r="21" spans="1:11" x14ac:dyDescent="0.3">
      <c r="A21">
        <v>20</v>
      </c>
      <c r="B21">
        <v>0.8</v>
      </c>
      <c r="C21">
        <v>1E-3</v>
      </c>
      <c r="D21">
        <v>0.49933405166182354</v>
      </c>
      <c r="E21">
        <v>1.1971900897790839</v>
      </c>
      <c r="F21">
        <v>-0.16611742188685508</v>
      </c>
      <c r="G21">
        <v>-0.27804446353927958</v>
      </c>
      <c r="H21">
        <v>2.8218369162381074E-3</v>
      </c>
      <c r="I21">
        <v>-0.14709859392315658</v>
      </c>
      <c r="J21">
        <v>-0.29701902476255138</v>
      </c>
      <c r="K21">
        <v>-0.29701902476255138</v>
      </c>
    </row>
    <row r="22" spans="1:11" x14ac:dyDescent="0.3">
      <c r="A22">
        <v>80</v>
      </c>
      <c r="B22">
        <v>0.8</v>
      </c>
      <c r="C22">
        <v>0.5</v>
      </c>
      <c r="D22">
        <v>0.99999999981180487</v>
      </c>
      <c r="E22">
        <v>0.30102999375197775</v>
      </c>
      <c r="F22">
        <v>0.29813285298128117</v>
      </c>
      <c r="G22">
        <v>-7.5690450732164016E-2</v>
      </c>
      <c r="H22">
        <v>-3.5891266556088608</v>
      </c>
      <c r="I22">
        <v>-4.0753962370077499</v>
      </c>
      <c r="J22">
        <v>-4.5616658184066381</v>
      </c>
      <c r="K22">
        <v>-4.5616658184066381</v>
      </c>
    </row>
    <row r="23" spans="1:11" x14ac:dyDescent="0.3">
      <c r="A23">
        <v>80</v>
      </c>
      <c r="B23">
        <v>0.8</v>
      </c>
      <c r="C23">
        <v>0.2</v>
      </c>
      <c r="D23">
        <v>0.99999999244546456</v>
      </c>
      <c r="E23">
        <v>0.6989699351504749</v>
      </c>
      <c r="F23">
        <v>0.66506234710231726</v>
      </c>
      <c r="G23">
        <v>-0.82215982952625066</v>
      </c>
      <c r="H23">
        <v>-5.4077265564735164</v>
      </c>
      <c r="I23">
        <v>-5.843919167725562</v>
      </c>
      <c r="J23">
        <v>-6.2801117789776084</v>
      </c>
      <c r="K23">
        <v>-6.2801117789776084</v>
      </c>
    </row>
    <row r="24" spans="1:11" x14ac:dyDescent="0.3">
      <c r="A24">
        <v>80</v>
      </c>
      <c r="B24">
        <v>0.8</v>
      </c>
      <c r="C24">
        <v>0.1</v>
      </c>
      <c r="D24">
        <v>0.99999994975899653</v>
      </c>
      <c r="E24">
        <v>0.99999956353235364</v>
      </c>
      <c r="F24">
        <v>0.89694255697122727</v>
      </c>
      <c r="G24">
        <v>-1.5623011230641484</v>
      </c>
      <c r="H24">
        <v>-5.6025473678967943</v>
      </c>
      <c r="I24">
        <v>-6.0152065770266319</v>
      </c>
      <c r="J24">
        <v>-6.4278657861564703</v>
      </c>
      <c r="K24">
        <v>-6.4278657861564703</v>
      </c>
    </row>
    <row r="25" spans="1:11" x14ac:dyDescent="0.3">
      <c r="A25">
        <v>80</v>
      </c>
      <c r="B25">
        <v>0.8</v>
      </c>
      <c r="C25">
        <v>0.05</v>
      </c>
      <c r="D25">
        <v>0.99999976499253895</v>
      </c>
      <c r="E25">
        <v>1.3010280352396419</v>
      </c>
      <c r="F25">
        <v>1.0664577719339037</v>
      </c>
      <c r="G25">
        <v>-2.2623611249089328</v>
      </c>
      <c r="H25">
        <v>-5.4204911775071114</v>
      </c>
      <c r="I25">
        <v>-5.8158747699252658</v>
      </c>
      <c r="J25">
        <v>-6.2112583623434219</v>
      </c>
      <c r="K25">
        <v>-6.2112583623434219</v>
      </c>
    </row>
    <row r="26" spans="1:11" x14ac:dyDescent="0.3">
      <c r="A26">
        <v>80</v>
      </c>
      <c r="B26">
        <v>0.8</v>
      </c>
      <c r="C26">
        <v>0.02</v>
      </c>
      <c r="D26">
        <v>0.99999870310624472</v>
      </c>
      <c r="E26">
        <v>1.6989596141603196</v>
      </c>
      <c r="F26">
        <v>1.1672753201149979</v>
      </c>
      <c r="G26">
        <v>-2.9782969329737599</v>
      </c>
      <c r="H26">
        <v>-4.9690467424956237</v>
      </c>
      <c r="I26">
        <v>-5.3479112983818435</v>
      </c>
      <c r="J26">
        <v>-5.7267758542680642</v>
      </c>
      <c r="K26">
        <v>-5.7267758542680642</v>
      </c>
    </row>
    <row r="27" spans="1:11" x14ac:dyDescent="0.3">
      <c r="A27">
        <v>80</v>
      </c>
      <c r="B27">
        <v>0.8</v>
      </c>
      <c r="C27">
        <v>0.01</v>
      </c>
      <c r="D27">
        <v>0.99999602933329834</v>
      </c>
      <c r="E27">
        <v>1.9999689054494554</v>
      </c>
      <c r="F27">
        <v>1.1401908754220065</v>
      </c>
      <c r="G27">
        <v>-3.3264330461291918</v>
      </c>
      <c r="H27">
        <v>-4.5831270567524571</v>
      </c>
      <c r="I27">
        <v>-4.952965558567648</v>
      </c>
      <c r="J27">
        <v>-5.3228040603828379</v>
      </c>
      <c r="K27">
        <v>-5.3228040603828379</v>
      </c>
    </row>
    <row r="28" spans="1:11" x14ac:dyDescent="0.3">
      <c r="A28">
        <v>80</v>
      </c>
      <c r="B28">
        <v>0.8</v>
      </c>
      <c r="C28">
        <v>5.0000000000000001E-3</v>
      </c>
      <c r="D28">
        <v>0.9999891228097928</v>
      </c>
      <c r="E28">
        <v>2.3009462779721219</v>
      </c>
      <c r="F28">
        <v>1.0264893470500573</v>
      </c>
      <c r="G28">
        <v>-3.5177922971687057</v>
      </c>
      <c r="H28">
        <v>-4.1987615366341489</v>
      </c>
      <c r="I28">
        <v>-4.5618781181072636</v>
      </c>
      <c r="J28">
        <v>-4.9249946995803775</v>
      </c>
      <c r="K28">
        <v>-4.9249946995803775</v>
      </c>
    </row>
    <row r="29" spans="1:11" x14ac:dyDescent="0.3">
      <c r="A29">
        <v>80</v>
      </c>
      <c r="B29">
        <v>0.8</v>
      </c>
      <c r="C29">
        <v>2E-3</v>
      </c>
      <c r="D29">
        <v>0.99996399855262685</v>
      </c>
      <c r="E29">
        <v>2.6986972549496699</v>
      </c>
      <c r="F29">
        <v>0.76398918206980171</v>
      </c>
      <c r="G29">
        <v>-3.5749362387127861</v>
      </c>
      <c r="H29">
        <v>-3.7143505553493017</v>
      </c>
      <c r="I29">
        <v>-4.0714388027977382</v>
      </c>
      <c r="J29">
        <v>-4.4285270502461769</v>
      </c>
      <c r="K29">
        <v>-4.4285270502461769</v>
      </c>
    </row>
    <row r="30" spans="1:11" x14ac:dyDescent="0.3">
      <c r="A30">
        <v>80</v>
      </c>
      <c r="B30">
        <v>0.8</v>
      </c>
      <c r="C30">
        <v>1E-3</v>
      </c>
      <c r="D30">
        <v>0.99991815646067739</v>
      </c>
      <c r="E30">
        <v>2.9993844663792841</v>
      </c>
      <c r="F30">
        <v>0.50491024447570099</v>
      </c>
      <c r="G30">
        <v>-3.5085994725676461</v>
      </c>
      <c r="H30">
        <v>-3.3708399864765681</v>
      </c>
      <c r="I30">
        <v>-3.7251672634968376</v>
      </c>
      <c r="J30">
        <v>-4.0794945405171079</v>
      </c>
      <c r="K30">
        <v>-4.0794945405171079</v>
      </c>
    </row>
    <row r="31" spans="1:11" x14ac:dyDescent="0.3">
      <c r="A31">
        <v>80</v>
      </c>
      <c r="B31">
        <v>0.8</v>
      </c>
      <c r="C31" s="3">
        <v>3.3699999999999997E-8</v>
      </c>
      <c r="D31">
        <v>0.88262885798481072</v>
      </c>
      <c r="E31">
        <v>6.4382650459723383</v>
      </c>
      <c r="F31">
        <v>-0.84817827657761291</v>
      </c>
      <c r="G31">
        <v>-0.93011432393044591</v>
      </c>
      <c r="H31">
        <v>-9.5579686096281091E-2</v>
      </c>
      <c r="I31">
        <v>-0.5130090299515524</v>
      </c>
      <c r="J31">
        <v>-0.93043837380682382</v>
      </c>
      <c r="K31">
        <v>-0.93043837380682382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de.2</vt:lpstr>
      <vt:lpstr>de.4</vt:lpstr>
      <vt:lpstr>de.8</vt:lpstr>
      <vt:lpstr>de.2 figs</vt:lpstr>
      <vt:lpstr>de.4 figs</vt:lpstr>
      <vt:lpstr>de.8 figs</vt:lpstr>
    </vt:vector>
  </TitlesOfParts>
  <Company>NewYork-Presbyterian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Kelly</dc:creator>
  <cp:lastModifiedBy>Kelly, Robert</cp:lastModifiedBy>
  <dcterms:created xsi:type="dcterms:W3CDTF">2022-05-29T21:38:58Z</dcterms:created>
  <dcterms:modified xsi:type="dcterms:W3CDTF">2026-04-09T17:00:03Z</dcterms:modified>
</cp:coreProperties>
</file>