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Keep\Research\HRM\paper\"/>
    </mc:Choice>
  </mc:AlternateContent>
  <xr:revisionPtr revIDLastSave="0" documentId="13_ncr:1_{02088618-5316-44FF-BA46-9FFFEEC2A549}" xr6:coauthVersionLast="47" xr6:coauthVersionMax="47" xr10:uidLastSave="{00000000-0000-0000-0000-000000000000}"/>
  <bookViews>
    <workbookView xWindow="-110" yWindow="-110" windowWidth="19400" windowHeight="10280" tabRatio="500" xr2:uid="{00000000-000D-0000-FFFF-FFFF00000000}"/>
  </bookViews>
  <sheets>
    <sheet name="Overview" sheetId="8" r:id="rId1"/>
    <sheet name="Example1_results" sheetId="1" r:id="rId2"/>
    <sheet name="HRV_fi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81" i="3" l="1"/>
  <c r="X81" i="3"/>
  <c r="G81" i="3" s="1"/>
  <c r="W81" i="3"/>
  <c r="V81" i="3"/>
  <c r="U81" i="3"/>
  <c r="T81" i="3"/>
  <c r="C81" i="3" s="1"/>
  <c r="H81" i="3"/>
  <c r="F81" i="3"/>
  <c r="E81" i="3"/>
  <c r="D81" i="3"/>
  <c r="Y80" i="3"/>
  <c r="X80" i="3"/>
  <c r="G80" i="3" s="1"/>
  <c r="W80" i="3"/>
  <c r="V80" i="3"/>
  <c r="U80" i="3"/>
  <c r="T80" i="3"/>
  <c r="C80" i="3" s="1"/>
  <c r="H80" i="3"/>
  <c r="F80" i="3"/>
  <c r="E80" i="3"/>
  <c r="D80" i="3"/>
  <c r="Y79" i="3"/>
  <c r="X79" i="3"/>
  <c r="G79" i="3" s="1"/>
  <c r="W79" i="3"/>
  <c r="V79" i="3"/>
  <c r="U79" i="3"/>
  <c r="T79" i="3"/>
  <c r="C79" i="3" s="1"/>
  <c r="H79" i="3"/>
  <c r="F79" i="3"/>
  <c r="E79" i="3"/>
  <c r="D79" i="3"/>
  <c r="Y78" i="3"/>
  <c r="X78" i="3"/>
  <c r="G78" i="3" s="1"/>
  <c r="W78" i="3"/>
  <c r="V78" i="3"/>
  <c r="U78" i="3"/>
  <c r="T78" i="3"/>
  <c r="C78" i="3" s="1"/>
  <c r="H78" i="3"/>
  <c r="F78" i="3"/>
  <c r="E78" i="3"/>
  <c r="D78" i="3"/>
  <c r="Y77" i="3"/>
  <c r="X77" i="3"/>
  <c r="G77" i="3" s="1"/>
  <c r="W77" i="3"/>
  <c r="V77" i="3"/>
  <c r="U77" i="3"/>
  <c r="T77" i="3"/>
  <c r="C77" i="3" s="1"/>
  <c r="H77" i="3"/>
  <c r="F77" i="3"/>
  <c r="E77" i="3"/>
  <c r="D77" i="3"/>
  <c r="Y76" i="3"/>
  <c r="X76" i="3"/>
  <c r="G76" i="3" s="1"/>
  <c r="W76" i="3"/>
  <c r="F76" i="3" s="1"/>
  <c r="V76" i="3"/>
  <c r="U76" i="3"/>
  <c r="T76" i="3"/>
  <c r="C76" i="3" s="1"/>
  <c r="H76" i="3"/>
  <c r="E76" i="3"/>
  <c r="D76" i="3"/>
  <c r="Y75" i="3"/>
  <c r="X75" i="3"/>
  <c r="G75" i="3" s="1"/>
  <c r="W75" i="3"/>
  <c r="V75" i="3"/>
  <c r="U75" i="3"/>
  <c r="T75" i="3"/>
  <c r="C75" i="3" s="1"/>
  <c r="H75" i="3"/>
  <c r="F75" i="3"/>
  <c r="E75" i="3"/>
  <c r="D75" i="3"/>
  <c r="Y74" i="3"/>
  <c r="X74" i="3"/>
  <c r="G74" i="3" s="1"/>
  <c r="W74" i="3"/>
  <c r="V74" i="3"/>
  <c r="U74" i="3"/>
  <c r="T74" i="3"/>
  <c r="C74" i="3" s="1"/>
  <c r="H74" i="3"/>
  <c r="F74" i="3"/>
  <c r="E74" i="3"/>
  <c r="D74" i="3"/>
  <c r="Y73" i="3"/>
  <c r="X73" i="3"/>
  <c r="G73" i="3" s="1"/>
  <c r="W73" i="3"/>
  <c r="V73" i="3"/>
  <c r="U73" i="3"/>
  <c r="T73" i="3"/>
  <c r="C73" i="3" s="1"/>
  <c r="H73" i="3"/>
  <c r="F73" i="3"/>
  <c r="E73" i="3"/>
  <c r="D73" i="3"/>
  <c r="Y72" i="3"/>
  <c r="X72" i="3"/>
  <c r="G72" i="3" s="1"/>
  <c r="W72" i="3"/>
  <c r="V72" i="3"/>
  <c r="U72" i="3"/>
  <c r="T72" i="3"/>
  <c r="C72" i="3" s="1"/>
  <c r="H72" i="3"/>
  <c r="F72" i="3"/>
  <c r="E72" i="3"/>
  <c r="D72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Y54" i="3"/>
  <c r="X54" i="3"/>
  <c r="G54" i="3" s="1"/>
  <c r="W54" i="3"/>
  <c r="V54" i="3"/>
  <c r="U54" i="3"/>
  <c r="T54" i="3"/>
  <c r="C54" i="3" s="1"/>
  <c r="H54" i="3"/>
  <c r="F54" i="3"/>
  <c r="E54" i="3"/>
  <c r="D54" i="3"/>
  <c r="Y53" i="3"/>
  <c r="X53" i="3"/>
  <c r="G53" i="3" s="1"/>
  <c r="W53" i="3"/>
  <c r="V53" i="3"/>
  <c r="U53" i="3"/>
  <c r="T53" i="3"/>
  <c r="C53" i="3" s="1"/>
  <c r="H53" i="3"/>
  <c r="F53" i="3"/>
  <c r="E53" i="3"/>
  <c r="D53" i="3"/>
  <c r="Y52" i="3"/>
  <c r="H52" i="3" s="1"/>
  <c r="X52" i="3"/>
  <c r="G52" i="3" s="1"/>
  <c r="W52" i="3"/>
  <c r="V52" i="3"/>
  <c r="U52" i="3"/>
  <c r="T52" i="3"/>
  <c r="C52" i="3" s="1"/>
  <c r="F52" i="3"/>
  <c r="E52" i="3"/>
  <c r="D52" i="3"/>
  <c r="Y51" i="3"/>
  <c r="X51" i="3"/>
  <c r="G51" i="3" s="1"/>
  <c r="W51" i="3"/>
  <c r="V51" i="3"/>
  <c r="U51" i="3"/>
  <c r="T51" i="3"/>
  <c r="C51" i="3" s="1"/>
  <c r="H51" i="3"/>
  <c r="F51" i="3"/>
  <c r="E51" i="3"/>
  <c r="D51" i="3"/>
  <c r="Y50" i="3"/>
  <c r="X50" i="3"/>
  <c r="G50" i="3" s="1"/>
  <c r="W50" i="3"/>
  <c r="V50" i="3"/>
  <c r="U50" i="3"/>
  <c r="T50" i="3"/>
  <c r="C50" i="3" s="1"/>
  <c r="H50" i="3"/>
  <c r="F50" i="3"/>
  <c r="E50" i="3"/>
  <c r="D50" i="3"/>
  <c r="Y49" i="3"/>
  <c r="X49" i="3"/>
  <c r="G49" i="3" s="1"/>
  <c r="W49" i="3"/>
  <c r="F49" i="3" s="1"/>
  <c r="V49" i="3"/>
  <c r="U49" i="3"/>
  <c r="T49" i="3"/>
  <c r="C49" i="3" s="1"/>
  <c r="H49" i="3"/>
  <c r="E49" i="3"/>
  <c r="D49" i="3"/>
  <c r="Y48" i="3"/>
  <c r="X48" i="3"/>
  <c r="G48" i="3" s="1"/>
  <c r="W48" i="3"/>
  <c r="F48" i="3" s="1"/>
  <c r="V48" i="3"/>
  <c r="U48" i="3"/>
  <c r="T48" i="3"/>
  <c r="C48" i="3" s="1"/>
  <c r="H48" i="3"/>
  <c r="E48" i="3"/>
  <c r="D48" i="3"/>
  <c r="Y47" i="3"/>
  <c r="X47" i="3"/>
  <c r="G47" i="3" s="1"/>
  <c r="W47" i="3"/>
  <c r="F47" i="3" s="1"/>
  <c r="V47" i="3"/>
  <c r="U47" i="3"/>
  <c r="T47" i="3"/>
  <c r="C47" i="3" s="1"/>
  <c r="H47" i="3"/>
  <c r="E47" i="3"/>
  <c r="D47" i="3"/>
  <c r="Y46" i="3"/>
  <c r="X46" i="3"/>
  <c r="G46" i="3" s="1"/>
  <c r="W46" i="3"/>
  <c r="F46" i="3" s="1"/>
  <c r="V46" i="3"/>
  <c r="U46" i="3"/>
  <c r="T46" i="3"/>
  <c r="C46" i="3" s="1"/>
  <c r="H46" i="3"/>
  <c r="E46" i="3"/>
  <c r="D46" i="3"/>
  <c r="Y45" i="3"/>
  <c r="X45" i="3"/>
  <c r="G45" i="3" s="1"/>
  <c r="W45" i="3"/>
  <c r="F45" i="3" s="1"/>
  <c r="V45" i="3"/>
  <c r="U45" i="3"/>
  <c r="T45" i="3"/>
  <c r="C45" i="3" s="1"/>
  <c r="H45" i="3"/>
  <c r="E45" i="3"/>
  <c r="D45" i="3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Y27" i="3"/>
  <c r="X27" i="3"/>
  <c r="G27" i="3" s="1"/>
  <c r="W27" i="3"/>
  <c r="V27" i="3"/>
  <c r="U27" i="3"/>
  <c r="T27" i="3"/>
  <c r="C27" i="3" s="1"/>
  <c r="H27" i="3"/>
  <c r="F27" i="3"/>
  <c r="E27" i="3"/>
  <c r="D27" i="3"/>
  <c r="Y26" i="3"/>
  <c r="X26" i="3"/>
  <c r="G26" i="3" s="1"/>
  <c r="W26" i="3"/>
  <c r="V26" i="3"/>
  <c r="U26" i="3"/>
  <c r="T26" i="3"/>
  <c r="C26" i="3" s="1"/>
  <c r="H26" i="3"/>
  <c r="F26" i="3"/>
  <c r="E26" i="3"/>
  <c r="D26" i="3"/>
  <c r="Y25" i="3"/>
  <c r="X25" i="3"/>
  <c r="G25" i="3" s="1"/>
  <c r="W25" i="3"/>
  <c r="V25" i="3"/>
  <c r="U25" i="3"/>
  <c r="T25" i="3"/>
  <c r="C25" i="3" s="1"/>
  <c r="H25" i="3"/>
  <c r="F25" i="3"/>
  <c r="E25" i="3"/>
  <c r="D25" i="3"/>
  <c r="Y24" i="3"/>
  <c r="X24" i="3"/>
  <c r="G24" i="3" s="1"/>
  <c r="W24" i="3"/>
  <c r="V24" i="3"/>
  <c r="U24" i="3"/>
  <c r="T24" i="3"/>
  <c r="C24" i="3" s="1"/>
  <c r="H24" i="3"/>
  <c r="F24" i="3"/>
  <c r="E24" i="3"/>
  <c r="D24" i="3"/>
  <c r="Y23" i="3"/>
  <c r="X23" i="3"/>
  <c r="G23" i="3" s="1"/>
  <c r="W23" i="3"/>
  <c r="V23" i="3"/>
  <c r="U23" i="3"/>
  <c r="T23" i="3"/>
  <c r="C23" i="3" s="1"/>
  <c r="H23" i="3"/>
  <c r="F23" i="3"/>
  <c r="E23" i="3"/>
  <c r="D23" i="3"/>
  <c r="Y22" i="3"/>
  <c r="X22" i="3"/>
  <c r="G22" i="3" s="1"/>
  <c r="W22" i="3"/>
  <c r="V22" i="3"/>
  <c r="U22" i="3"/>
  <c r="D22" i="3" s="1"/>
  <c r="T22" i="3"/>
  <c r="C22" i="3" s="1"/>
  <c r="H22" i="3"/>
  <c r="F22" i="3"/>
  <c r="E22" i="3"/>
  <c r="Y21" i="3"/>
  <c r="X21" i="3"/>
  <c r="G21" i="3" s="1"/>
  <c r="W21" i="3"/>
  <c r="V21" i="3"/>
  <c r="U21" i="3"/>
  <c r="T21" i="3"/>
  <c r="C21" i="3" s="1"/>
  <c r="H21" i="3"/>
  <c r="F21" i="3"/>
  <c r="E21" i="3"/>
  <c r="D21" i="3"/>
  <c r="Y20" i="3"/>
  <c r="X20" i="3"/>
  <c r="G20" i="3" s="1"/>
  <c r="W20" i="3"/>
  <c r="F20" i="3" s="1"/>
  <c r="V20" i="3"/>
  <c r="U20" i="3"/>
  <c r="T20" i="3"/>
  <c r="C20" i="3" s="1"/>
  <c r="H20" i="3"/>
  <c r="E20" i="3"/>
  <c r="D20" i="3"/>
  <c r="Y19" i="3"/>
  <c r="X19" i="3"/>
  <c r="G19" i="3" s="1"/>
  <c r="W19" i="3"/>
  <c r="F19" i="3" s="1"/>
  <c r="V19" i="3"/>
  <c r="U19" i="3"/>
  <c r="T19" i="3"/>
  <c r="C19" i="3" s="1"/>
  <c r="H19" i="3"/>
  <c r="E19" i="3"/>
  <c r="D19" i="3"/>
  <c r="Y18" i="3"/>
  <c r="X18" i="3"/>
  <c r="G18" i="3" s="1"/>
  <c r="W18" i="3"/>
  <c r="F18" i="3" s="1"/>
  <c r="V18" i="3"/>
  <c r="U18" i="3"/>
  <c r="T18" i="3"/>
  <c r="C18" i="3" s="1"/>
  <c r="H18" i="3"/>
  <c r="E18" i="3"/>
  <c r="D18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D5" i="3"/>
  <c r="C5" i="3"/>
</calcChain>
</file>

<file path=xl/sharedStrings.xml><?xml version="1.0" encoding="utf-8"?>
<sst xmlns="http://schemas.openxmlformats.org/spreadsheetml/2006/main" count="204" uniqueCount="59">
  <si>
    <t>sampleN_ID</t>
  </si>
  <si>
    <t>d_actual</t>
  </si>
  <si>
    <t>sampleN</t>
  </si>
  <si>
    <t>Bin_mean</t>
  </si>
  <si>
    <t>Bin_min</t>
  </si>
  <si>
    <t>Bin_max</t>
  </si>
  <si>
    <t>Bin_SE</t>
  </si>
  <si>
    <t>Bin_SE_minus</t>
  </si>
  <si>
    <t>Bin_Nlosers</t>
  </si>
  <si>
    <t>Nonbin_mean</t>
  </si>
  <si>
    <t>Nonbin_min</t>
  </si>
  <si>
    <t>Nonbin_max</t>
  </si>
  <si>
    <t>Nonbin_SE</t>
  </si>
  <si>
    <t>Nonbin_SE_minus</t>
  </si>
  <si>
    <t>Nonbin_Nlosers</t>
  </si>
  <si>
    <t>Number of trials, d_actual = 0.2</t>
  </si>
  <si>
    <t>Number of participants, d_actual = 0.2</t>
  </si>
  <si>
    <t>P</t>
  </si>
  <si>
    <t>Mult_factor</t>
  </si>
  <si>
    <t>Binary, d=0.2</t>
  </si>
  <si>
    <t>a</t>
  </si>
  <si>
    <t>r</t>
  </si>
  <si>
    <t>t</t>
  </si>
  <si>
    <t>i</t>
  </si>
  <si>
    <t>c</t>
  </si>
  <si>
    <t>Nonbinary, d=0.2</t>
  </si>
  <si>
    <t>p</t>
  </si>
  <si>
    <t>n</t>
  </si>
  <si>
    <t>s</t>
  </si>
  <si>
    <t>Number of trials, d_actual = 0.4</t>
  </si>
  <si>
    <t>Number of participants, d_actual = 0.4</t>
  </si>
  <si>
    <t>Binary, d=0.4</t>
  </si>
  <si>
    <t>Nonbinary, d=0.4</t>
  </si>
  <si>
    <t>Number of trials, d_actual = 0.8</t>
  </si>
  <si>
    <t>Number of participants, d_actual = 0.8</t>
  </si>
  <si>
    <t>Binary</t>
  </si>
  <si>
    <t>Nonbinary</t>
  </si>
  <si>
    <t>Date: April 3, 2026</t>
  </si>
  <si>
    <t>Email: rek2005@med.cornell.edu; robert.kelly@med.lu.se</t>
  </si>
  <si>
    <t>Author: Robert Kelly, ORCID 0000-0002-1783-498X</t>
  </si>
  <si>
    <t>This Microsoft Excel Spreadsheet file collects data from the R-script Example 1 to demonstrate a Monte Carlo simulation of the Horse Race Variant of the Hypothesis Race Model</t>
  </si>
  <si>
    <t>where many hypotheses are empirically tested simultaneously to find a true hypothesis among them, with the goal of limiting the number of tests needed to find a winner in a</t>
  </si>
  <si>
    <t>field of unlikely candidates.</t>
  </si>
  <si>
    <t>The Example1_results spreadsheet shows the data, which are processed in the HRV_fig spreadsheet to multiply number of trials by number of participants to get the total</t>
  </si>
  <si>
    <t>Key for Example1_results:</t>
  </si>
  <si>
    <t>d_actual = 0.2 and 0.4 are shown and the error bars for standard error are not shown because they would be nearly the same size as the point symbols anyway.</t>
  </si>
  <si>
    <t>indicates the parameters for the simulation, which included number of winners (1), number of iterations (5000), and estimated d (0.2)</t>
  </si>
  <si>
    <t>actual Cohen's d, 0.2, 0.4, or 0.8</t>
  </si>
  <si>
    <t>number of participants per trial: 5, 10, 20, 40, 80, or 160</t>
  </si>
  <si>
    <t>maximum number of trials needed to find the winner, out of the 5000 iterations</t>
  </si>
  <si>
    <t>minimum number of trials needed to find the winner, out of the 5000 iterations</t>
  </si>
  <si>
    <t>standard error of the mean</t>
  </si>
  <si>
    <t>standard error of the mean times -1, for the purpose of providing error bars</t>
  </si>
  <si>
    <t>Results were collected for both the binary and nonbinary HRM approaches.</t>
  </si>
  <si>
    <t>mean number of trials needed to find the winner using the binary HRM approach</t>
  </si>
  <si>
    <t>mean number of trials needed to find the winner using the nonbinary HRM approach</t>
  </si>
  <si>
    <t>number of false hypotheses that were incorrectly found to be "winners" out of 5000 iterations</t>
  </si>
  <si>
    <t xml:space="preserve">number of participants, which are then divided by 1000 to express the final result in thousands of participants.  To make the graphs look cleaner, only the data for </t>
  </si>
  <si>
    <t>Copied data below, to be multiplied by number of participants per trial, then divided by 1000 prior to graphing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</si>
</sst>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Horse Race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HRV_fig!$B$18:$B$18</c:f>
              <c:strCache>
                <c:ptCount val="1"/>
                <c:pt idx="0">
                  <c:v>Binary, d=0.2</c:v>
                </c:pt>
              </c:strCache>
            </c:strRef>
          </c:tx>
          <c:spPr>
            <a:ln w="28440">
              <a:solidFill>
                <a:srgbClr val="666666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HRV_fig!$C$17:$H$17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cat>
          <c:val>
            <c:numRef>
              <c:f>HRV_fig!$C$18:$H$18</c:f>
              <c:numCache>
                <c:formatCode>General</c:formatCode>
                <c:ptCount val="6"/>
                <c:pt idx="0">
                  <c:v>90.839761999999993</c:v>
                </c:pt>
                <c:pt idx="1">
                  <c:v>88.535141999999993</c:v>
                </c:pt>
                <c:pt idx="2">
                  <c:v>91.154948000000005</c:v>
                </c:pt>
                <c:pt idx="3">
                  <c:v>101.844728</c:v>
                </c:pt>
                <c:pt idx="4">
                  <c:v>120.67112</c:v>
                </c:pt>
                <c:pt idx="5">
                  <c:v>165.51270400000001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F-4FF2-833B-6F4433F4B084}"/>
            </c:ext>
          </c:extLst>
        </c:ser>
        <c:ser>
          <c:idx val="1"/>
          <c:order val="1"/>
          <c:tx>
            <c:strRef>
              <c:f>HRV_fig!$B$23:$B$23</c:f>
              <c:strCache>
                <c:ptCount val="1"/>
                <c:pt idx="0">
                  <c:v>Nonbinary, d=0.2</c:v>
                </c:pt>
              </c:strCache>
            </c:strRef>
          </c:tx>
          <c:spPr>
            <a:ln w="28440" cap="rnd">
              <a:solidFill>
                <a:schemeClr val="tx1"/>
              </a:solidFill>
              <a:round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HRV_fig!$C$17:$H$17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cat>
          <c:val>
            <c:numRef>
              <c:f>HRV_fig!$C$23:$H$23</c:f>
              <c:numCache>
                <c:formatCode>General</c:formatCode>
                <c:ptCount val="6"/>
                <c:pt idx="0">
                  <c:v>71.973262000000005</c:v>
                </c:pt>
                <c:pt idx="1">
                  <c:v>62.498542</c:v>
                </c:pt>
                <c:pt idx="2">
                  <c:v>61.656448000000005</c:v>
                </c:pt>
                <c:pt idx="3">
                  <c:v>64.02</c:v>
                </c:pt>
                <c:pt idx="4">
                  <c:v>77.680320000000009</c:v>
                </c:pt>
                <c:pt idx="5">
                  <c:v>106.040448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F-4FF2-833B-6F4433F4B084}"/>
            </c:ext>
          </c:extLst>
        </c:ser>
        <c:ser>
          <c:idx val="2"/>
          <c:order val="2"/>
          <c:tx>
            <c:strRef>
              <c:f>HRV_fig!$B$45:$B$45</c:f>
              <c:strCache>
                <c:ptCount val="1"/>
                <c:pt idx="0">
                  <c:v>Binary, d=0.4</c:v>
                </c:pt>
              </c:strCache>
            </c:strRef>
          </c:tx>
          <c:spPr>
            <a:ln w="28800">
              <a:solidFill>
                <a:srgbClr val="000000"/>
              </a:solidFill>
              <a:prstDash val="dash"/>
              <a:round/>
            </a:ln>
          </c:spPr>
          <c:marker>
            <c:symbol val="triangle"/>
            <c:size val="8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HRV_fig!$C$17:$H$17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cat>
          <c:val>
            <c:numRef>
              <c:f>HRV_fig!$C$45:$H$45</c:f>
              <c:numCache>
                <c:formatCode>General</c:formatCode>
                <c:ptCount val="6"/>
                <c:pt idx="0">
                  <c:v>32.144294000000002</c:v>
                </c:pt>
                <c:pt idx="1">
                  <c:v>30.855730000000001</c:v>
                </c:pt>
                <c:pt idx="2">
                  <c:v>31.978860000000001</c:v>
                </c:pt>
                <c:pt idx="3">
                  <c:v>38.376896000000002</c:v>
                </c:pt>
                <c:pt idx="4">
                  <c:v>55.284495999999997</c:v>
                </c:pt>
                <c:pt idx="5">
                  <c:v>86.594879999999989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F-4FF2-833B-6F4433F4B084}"/>
            </c:ext>
          </c:extLst>
        </c:ser>
        <c:ser>
          <c:idx val="3"/>
          <c:order val="3"/>
          <c:tx>
            <c:strRef>
              <c:f>HRV_fig!$B$50:$B$50</c:f>
              <c:strCache>
                <c:ptCount val="1"/>
                <c:pt idx="0">
                  <c:v>Nonbinary, d=0.4</c:v>
                </c:pt>
              </c:strCache>
            </c:strRef>
          </c:tx>
          <c:spPr>
            <a:ln w="28800">
              <a:solidFill>
                <a:schemeClr val="tx1"/>
              </a:solidFill>
              <a:round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HRV_fig!$C$17:$H$17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</c:numCache>
            </c:numRef>
          </c:cat>
          <c:val>
            <c:numRef>
              <c:f>HRV_fig!$C$50:$H$50</c:f>
              <c:numCache>
                <c:formatCode>General</c:formatCode>
                <c:ptCount val="6"/>
                <c:pt idx="0">
                  <c:v>25.296134000000002</c:v>
                </c:pt>
                <c:pt idx="1">
                  <c:v>23.608436000000001</c:v>
                </c:pt>
                <c:pt idx="2">
                  <c:v>26.268771999999998</c:v>
                </c:pt>
                <c:pt idx="3">
                  <c:v>34.319679999999998</c:v>
                </c:pt>
                <c:pt idx="4">
                  <c:v>53.8292</c:v>
                </c:pt>
                <c:pt idx="5">
                  <c:v>92.720544000000004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CF-4FF2-833B-6F4433F4B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950747"/>
        <c:axId val="6686868"/>
      </c:lineChart>
      <c:catAx>
        <c:axId val="57950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Sample 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86868"/>
        <c:crosses val="autoZero"/>
        <c:auto val="1"/>
        <c:lblAlgn val="ctr"/>
        <c:lblOffset val="100"/>
        <c:noMultiLvlLbl val="0"/>
      </c:catAx>
      <c:valAx>
        <c:axId val="66868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Total  N, thousands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7950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8694658075244195"/>
          <c:y val="0"/>
          <c:w val="0.20068592808148"/>
          <c:h val="0.4610322389825490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242760</xdr:colOff>
      <xdr:row>2</xdr:row>
      <xdr:rowOff>12420</xdr:rowOff>
    </xdr:from>
    <xdr:to>
      <xdr:col>17</xdr:col>
      <xdr:colOff>341400</xdr:colOff>
      <xdr:row>29</xdr:row>
      <xdr:rowOff>156420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201C-F36F-4559-8072-15C48C3FA157}">
  <dimension ref="A1:C30"/>
  <sheetViews>
    <sheetView tabSelected="1" workbookViewId="0"/>
  </sheetViews>
  <sheetFormatPr defaultRowHeight="14.5" x14ac:dyDescent="0.35"/>
  <sheetData>
    <row r="1" spans="1:3" x14ac:dyDescent="0.35">
      <c r="A1" t="s">
        <v>39</v>
      </c>
    </row>
    <row r="2" spans="1:3" x14ac:dyDescent="0.35">
      <c r="A2" t="s">
        <v>37</v>
      </c>
    </row>
    <row r="3" spans="1:3" x14ac:dyDescent="0.35">
      <c r="A3" t="s">
        <v>38</v>
      </c>
    </row>
    <row r="5" spans="1:3" x14ac:dyDescent="0.35">
      <c r="A5" t="s">
        <v>40</v>
      </c>
    </row>
    <row r="6" spans="1:3" x14ac:dyDescent="0.35">
      <c r="A6" t="s">
        <v>41</v>
      </c>
    </row>
    <row r="7" spans="1:3" x14ac:dyDescent="0.35">
      <c r="A7" t="s">
        <v>42</v>
      </c>
    </row>
    <row r="9" spans="1:3" x14ac:dyDescent="0.35">
      <c r="A9" t="s">
        <v>43</v>
      </c>
    </row>
    <row r="10" spans="1:3" x14ac:dyDescent="0.35">
      <c r="A10" t="s">
        <v>57</v>
      </c>
    </row>
    <row r="11" spans="1:3" x14ac:dyDescent="0.35">
      <c r="A11" t="s">
        <v>45</v>
      </c>
    </row>
    <row r="12" spans="1:3" x14ac:dyDescent="0.35">
      <c r="A12" t="s">
        <v>53</v>
      </c>
    </row>
    <row r="14" spans="1:3" x14ac:dyDescent="0.35">
      <c r="A14" t="s">
        <v>44</v>
      </c>
    </row>
    <row r="16" spans="1:3" x14ac:dyDescent="0.35">
      <c r="A16" t="s">
        <v>0</v>
      </c>
      <c r="C16" t="s">
        <v>46</v>
      </c>
    </row>
    <row r="17" spans="1:3" x14ac:dyDescent="0.35">
      <c r="A17" t="s">
        <v>1</v>
      </c>
      <c r="C17" t="s">
        <v>47</v>
      </c>
    </row>
    <row r="18" spans="1:3" x14ac:dyDescent="0.35">
      <c r="A18" t="s">
        <v>2</v>
      </c>
      <c r="C18" t="s">
        <v>48</v>
      </c>
    </row>
    <row r="19" spans="1:3" x14ac:dyDescent="0.35">
      <c r="A19" t="s">
        <v>3</v>
      </c>
      <c r="C19" t="s">
        <v>54</v>
      </c>
    </row>
    <row r="20" spans="1:3" x14ac:dyDescent="0.35">
      <c r="A20" t="s">
        <v>4</v>
      </c>
      <c r="C20" t="s">
        <v>50</v>
      </c>
    </row>
    <row r="21" spans="1:3" x14ac:dyDescent="0.35">
      <c r="A21" t="s">
        <v>5</v>
      </c>
      <c r="C21" t="s">
        <v>49</v>
      </c>
    </row>
    <row r="22" spans="1:3" x14ac:dyDescent="0.35">
      <c r="A22" t="s">
        <v>6</v>
      </c>
      <c r="C22" t="s">
        <v>51</v>
      </c>
    </row>
    <row r="23" spans="1:3" x14ac:dyDescent="0.35">
      <c r="A23" t="s">
        <v>7</v>
      </c>
      <c r="C23" t="s">
        <v>52</v>
      </c>
    </row>
    <row r="24" spans="1:3" x14ac:dyDescent="0.35">
      <c r="A24" t="s">
        <v>8</v>
      </c>
      <c r="C24" t="s">
        <v>56</v>
      </c>
    </row>
    <row r="25" spans="1:3" x14ac:dyDescent="0.35">
      <c r="A25" t="s">
        <v>9</v>
      </c>
      <c r="C25" t="s">
        <v>55</v>
      </c>
    </row>
    <row r="26" spans="1:3" x14ac:dyDescent="0.35">
      <c r="A26" t="s">
        <v>10</v>
      </c>
      <c r="C26" t="s">
        <v>50</v>
      </c>
    </row>
    <row r="27" spans="1:3" x14ac:dyDescent="0.35">
      <c r="A27" t="s">
        <v>11</v>
      </c>
      <c r="C27" t="s">
        <v>49</v>
      </c>
    </row>
    <row r="28" spans="1:3" x14ac:dyDescent="0.35">
      <c r="A28" t="s">
        <v>12</v>
      </c>
      <c r="C28" t="s">
        <v>51</v>
      </c>
    </row>
    <row r="29" spans="1:3" x14ac:dyDescent="0.35">
      <c r="A29" t="s">
        <v>13</v>
      </c>
      <c r="C29" t="s">
        <v>52</v>
      </c>
    </row>
    <row r="30" spans="1:3" x14ac:dyDescent="0.35">
      <c r="A30" t="s">
        <v>14</v>
      </c>
      <c r="C3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zoomScaleNormal="100" workbookViewId="0"/>
  </sheetViews>
  <sheetFormatPr defaultColWidth="9.08984375" defaultRowHeight="14.5" x14ac:dyDescent="0.35"/>
  <cols>
    <col min="1" max="1" width="2.81640625" customWidth="1"/>
    <col min="2" max="2" width="9.08984375" customWidth="1"/>
    <col min="3" max="3" width="6.6328125" customWidth="1"/>
    <col min="4" max="4" width="6.90625" customWidth="1"/>
    <col min="5" max="5" width="8.6328125" customWidth="1"/>
    <col min="6" max="6" width="6.453125" customWidth="1"/>
    <col min="7" max="7" width="6.90625" customWidth="1"/>
    <col min="8" max="8" width="13.1796875" customWidth="1"/>
    <col min="9" max="9" width="13.6328125" customWidth="1"/>
    <col min="10" max="10" width="9" customWidth="1"/>
    <col min="11" max="11" width="10" customWidth="1"/>
    <col min="12" max="12" width="8.81640625" customWidth="1"/>
    <col min="14" max="14" width="13.1796875" customWidth="1"/>
    <col min="15" max="15" width="13.6328125" customWidth="1"/>
    <col min="16" max="16" width="11.1796875" customWidth="1"/>
  </cols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1</v>
      </c>
      <c r="B2">
        <v>1</v>
      </c>
      <c r="C2">
        <v>0.2</v>
      </c>
      <c r="D2">
        <v>5</v>
      </c>
      <c r="E2">
        <v>18167.952399999998</v>
      </c>
      <c r="F2">
        <v>97</v>
      </c>
      <c r="G2">
        <v>162494</v>
      </c>
      <c r="H2">
        <v>256.77943613839398</v>
      </c>
      <c r="I2">
        <v>-256.77943613839398</v>
      </c>
      <c r="J2">
        <v>21</v>
      </c>
      <c r="K2">
        <v>14394.652400000001</v>
      </c>
      <c r="L2">
        <v>94</v>
      </c>
      <c r="M2">
        <v>138730</v>
      </c>
      <c r="N2">
        <v>202.24315322037401</v>
      </c>
      <c r="O2">
        <v>-202.24315322037401</v>
      </c>
      <c r="P2">
        <v>28</v>
      </c>
    </row>
    <row r="3" spans="1:16" x14ac:dyDescent="0.35">
      <c r="A3">
        <v>2</v>
      </c>
      <c r="B3">
        <v>2</v>
      </c>
      <c r="C3">
        <v>0.2</v>
      </c>
      <c r="D3">
        <v>10</v>
      </c>
      <c r="E3">
        <v>8853.5141999999996</v>
      </c>
      <c r="F3">
        <v>45</v>
      </c>
      <c r="G3">
        <v>103859</v>
      </c>
      <c r="H3">
        <v>123.58017893628799</v>
      </c>
      <c r="I3">
        <v>-123.58017893628799</v>
      </c>
      <c r="J3">
        <v>20</v>
      </c>
      <c r="K3">
        <v>6249.8541999999998</v>
      </c>
      <c r="L3">
        <v>31</v>
      </c>
      <c r="M3">
        <v>58261</v>
      </c>
      <c r="N3">
        <v>83.599806935018606</v>
      </c>
      <c r="O3">
        <v>-83.599806935018606</v>
      </c>
      <c r="P3">
        <v>16</v>
      </c>
    </row>
    <row r="4" spans="1:16" x14ac:dyDescent="0.35">
      <c r="A4">
        <v>3</v>
      </c>
      <c r="B4">
        <v>3</v>
      </c>
      <c r="C4">
        <v>0.2</v>
      </c>
      <c r="D4">
        <v>20</v>
      </c>
      <c r="E4">
        <v>4557.7474000000002</v>
      </c>
      <c r="F4">
        <v>26</v>
      </c>
      <c r="G4">
        <v>36066</v>
      </c>
      <c r="H4">
        <v>62.614409471089999</v>
      </c>
      <c r="I4">
        <v>-62.614409471089999</v>
      </c>
      <c r="J4">
        <v>15</v>
      </c>
      <c r="K4">
        <v>3082.8224</v>
      </c>
      <c r="L4">
        <v>20</v>
      </c>
      <c r="M4">
        <v>28833</v>
      </c>
      <c r="N4">
        <v>40.576899312826001</v>
      </c>
      <c r="O4">
        <v>-40.576899312826001</v>
      </c>
      <c r="P4">
        <v>26</v>
      </c>
    </row>
    <row r="5" spans="1:16" x14ac:dyDescent="0.35">
      <c r="A5">
        <v>4</v>
      </c>
      <c r="B5">
        <v>4</v>
      </c>
      <c r="C5">
        <v>0.2</v>
      </c>
      <c r="D5">
        <v>40</v>
      </c>
      <c r="E5">
        <v>2546.1181999999999</v>
      </c>
      <c r="F5">
        <v>13</v>
      </c>
      <c r="G5">
        <v>22059</v>
      </c>
      <c r="H5">
        <v>34.818803846571399</v>
      </c>
      <c r="I5">
        <v>-34.818803846571399</v>
      </c>
      <c r="J5">
        <v>15</v>
      </c>
      <c r="K5">
        <v>1600.5</v>
      </c>
      <c r="L5">
        <v>11</v>
      </c>
      <c r="M5">
        <v>12479</v>
      </c>
      <c r="N5">
        <v>18.5113999228967</v>
      </c>
      <c r="O5">
        <v>-18.5113999228967</v>
      </c>
      <c r="P5">
        <v>10</v>
      </c>
    </row>
    <row r="6" spans="1:16" x14ac:dyDescent="0.35">
      <c r="A6">
        <v>5</v>
      </c>
      <c r="B6">
        <v>5</v>
      </c>
      <c r="C6">
        <v>0.2</v>
      </c>
      <c r="D6">
        <v>80</v>
      </c>
      <c r="E6">
        <v>1508.3889999999999</v>
      </c>
      <c r="F6">
        <v>6</v>
      </c>
      <c r="G6">
        <v>13535</v>
      </c>
      <c r="H6">
        <v>20.0756606956352</v>
      </c>
      <c r="I6">
        <v>-20.0756606956352</v>
      </c>
      <c r="J6">
        <v>16</v>
      </c>
      <c r="K6">
        <v>971.00400000000002</v>
      </c>
      <c r="L6">
        <v>6</v>
      </c>
      <c r="M6">
        <v>6972</v>
      </c>
      <c r="N6">
        <v>9.7053790030641593</v>
      </c>
      <c r="O6">
        <v>-9.7053790030641593</v>
      </c>
      <c r="P6">
        <v>9</v>
      </c>
    </row>
    <row r="7" spans="1:16" x14ac:dyDescent="0.35">
      <c r="A7">
        <v>6</v>
      </c>
      <c r="B7">
        <v>6</v>
      </c>
      <c r="C7">
        <v>0.2</v>
      </c>
      <c r="D7">
        <v>160</v>
      </c>
      <c r="E7">
        <v>1034.4544000000001</v>
      </c>
      <c r="F7">
        <v>5</v>
      </c>
      <c r="G7">
        <v>7818</v>
      </c>
      <c r="H7">
        <v>12.784675512883499</v>
      </c>
      <c r="I7">
        <v>-12.784675512883499</v>
      </c>
      <c r="J7">
        <v>8</v>
      </c>
      <c r="K7">
        <v>662.75279999999998</v>
      </c>
      <c r="L7">
        <v>3</v>
      </c>
      <c r="M7">
        <v>3645</v>
      </c>
      <c r="N7">
        <v>5.8740371603305501</v>
      </c>
      <c r="O7">
        <v>-5.8740371603305501</v>
      </c>
      <c r="P7">
        <v>7</v>
      </c>
    </row>
    <row r="8" spans="1:16" x14ac:dyDescent="0.35">
      <c r="A8">
        <v>7</v>
      </c>
      <c r="B8">
        <v>7</v>
      </c>
      <c r="C8">
        <v>0.4</v>
      </c>
      <c r="D8">
        <v>5</v>
      </c>
      <c r="E8">
        <v>6428.8588</v>
      </c>
      <c r="F8">
        <v>49</v>
      </c>
      <c r="G8">
        <v>56604</v>
      </c>
      <c r="H8">
        <v>85.476477879160598</v>
      </c>
      <c r="I8">
        <v>-85.476477879160598</v>
      </c>
      <c r="J8">
        <v>12</v>
      </c>
      <c r="K8">
        <v>5059.2268000000004</v>
      </c>
      <c r="L8">
        <v>45</v>
      </c>
      <c r="M8">
        <v>48417</v>
      </c>
      <c r="N8">
        <v>70.045293458015294</v>
      </c>
      <c r="O8">
        <v>-70.045293458015294</v>
      </c>
      <c r="P8">
        <v>14</v>
      </c>
    </row>
    <row r="9" spans="1:16" x14ac:dyDescent="0.35">
      <c r="A9">
        <v>8</v>
      </c>
      <c r="B9">
        <v>8</v>
      </c>
      <c r="C9">
        <v>0.4</v>
      </c>
      <c r="D9">
        <v>10</v>
      </c>
      <c r="E9">
        <v>3085.5729999999999</v>
      </c>
      <c r="F9">
        <v>28</v>
      </c>
      <c r="G9">
        <v>27929</v>
      </c>
      <c r="H9">
        <v>39.473459801491202</v>
      </c>
      <c r="I9">
        <v>-39.473459801491202</v>
      </c>
      <c r="J9">
        <v>8</v>
      </c>
      <c r="K9">
        <v>2360.8436000000002</v>
      </c>
      <c r="L9">
        <v>18</v>
      </c>
      <c r="M9">
        <v>20791</v>
      </c>
      <c r="N9">
        <v>29.490914314636498</v>
      </c>
      <c r="O9">
        <v>-29.490914314636498</v>
      </c>
      <c r="P9">
        <v>14</v>
      </c>
    </row>
    <row r="10" spans="1:16" x14ac:dyDescent="0.35">
      <c r="A10">
        <v>9</v>
      </c>
      <c r="B10">
        <v>9</v>
      </c>
      <c r="C10">
        <v>0.4</v>
      </c>
      <c r="D10">
        <v>20</v>
      </c>
      <c r="E10">
        <v>1598.943</v>
      </c>
      <c r="F10">
        <v>14</v>
      </c>
      <c r="G10">
        <v>11209</v>
      </c>
      <c r="H10">
        <v>18.745693713404101</v>
      </c>
      <c r="I10">
        <v>-18.745693713404101</v>
      </c>
      <c r="J10">
        <v>6</v>
      </c>
      <c r="K10">
        <v>1313.4386</v>
      </c>
      <c r="L10">
        <v>9</v>
      </c>
      <c r="M10">
        <v>8108</v>
      </c>
      <c r="N10">
        <v>13.3769460409723</v>
      </c>
      <c r="O10">
        <v>-13.3769460409723</v>
      </c>
      <c r="P10">
        <v>8</v>
      </c>
    </row>
    <row r="11" spans="1:16" x14ac:dyDescent="0.35">
      <c r="A11">
        <v>10</v>
      </c>
      <c r="B11">
        <v>10</v>
      </c>
      <c r="C11">
        <v>0.4</v>
      </c>
      <c r="D11">
        <v>40</v>
      </c>
      <c r="E11">
        <v>959.42240000000004</v>
      </c>
      <c r="F11">
        <v>9</v>
      </c>
      <c r="G11">
        <v>5520</v>
      </c>
      <c r="H11">
        <v>9.5937573844556994</v>
      </c>
      <c r="I11">
        <v>-9.5937573844556994</v>
      </c>
      <c r="J11">
        <v>7</v>
      </c>
      <c r="K11">
        <v>857.99199999999996</v>
      </c>
      <c r="L11">
        <v>5</v>
      </c>
      <c r="M11">
        <v>4737</v>
      </c>
      <c r="N11">
        <v>7.53127156843302</v>
      </c>
      <c r="O11">
        <v>-7.53127156843302</v>
      </c>
      <c r="P11">
        <v>8</v>
      </c>
    </row>
    <row r="12" spans="1:16" x14ac:dyDescent="0.35">
      <c r="A12">
        <v>11</v>
      </c>
      <c r="B12">
        <v>11</v>
      </c>
      <c r="C12">
        <v>0.4</v>
      </c>
      <c r="D12">
        <v>80</v>
      </c>
      <c r="E12">
        <v>691.05619999999999</v>
      </c>
      <c r="F12">
        <v>6</v>
      </c>
      <c r="G12">
        <v>2843</v>
      </c>
      <c r="H12">
        <v>5.9526928560744503</v>
      </c>
      <c r="I12">
        <v>-5.9526928560744503</v>
      </c>
      <c r="J12">
        <v>10</v>
      </c>
      <c r="K12">
        <v>672.86500000000001</v>
      </c>
      <c r="L12">
        <v>3</v>
      </c>
      <c r="M12">
        <v>2612</v>
      </c>
      <c r="N12">
        <v>5.4700079444533198</v>
      </c>
      <c r="O12">
        <v>-5.4700079444533198</v>
      </c>
      <c r="P12">
        <v>5</v>
      </c>
    </row>
    <row r="13" spans="1:16" x14ac:dyDescent="0.35">
      <c r="A13">
        <v>12</v>
      </c>
      <c r="B13">
        <v>12</v>
      </c>
      <c r="C13">
        <v>0.4</v>
      </c>
      <c r="D13">
        <v>160</v>
      </c>
      <c r="E13">
        <v>541.21799999999996</v>
      </c>
      <c r="F13">
        <v>4</v>
      </c>
      <c r="G13">
        <v>2094</v>
      </c>
      <c r="H13">
        <v>4.4381836453682304</v>
      </c>
      <c r="I13">
        <v>-4.4381836453682304</v>
      </c>
      <c r="J13">
        <v>4</v>
      </c>
      <c r="K13">
        <v>579.50340000000006</v>
      </c>
      <c r="L13">
        <v>1</v>
      </c>
      <c r="M13">
        <v>1170</v>
      </c>
      <c r="N13">
        <v>4.6812253921299698</v>
      </c>
      <c r="O13">
        <v>-4.6812253921299698</v>
      </c>
      <c r="P13">
        <v>4</v>
      </c>
    </row>
    <row r="14" spans="1:16" x14ac:dyDescent="0.35">
      <c r="A14">
        <v>13</v>
      </c>
      <c r="B14">
        <v>13</v>
      </c>
      <c r="C14">
        <v>0.8</v>
      </c>
      <c r="D14">
        <v>5</v>
      </c>
      <c r="E14">
        <v>3362.7051999999999</v>
      </c>
      <c r="F14">
        <v>41</v>
      </c>
      <c r="G14">
        <v>20837</v>
      </c>
      <c r="H14">
        <v>37.224414975559299</v>
      </c>
      <c r="I14">
        <v>-37.224414975559299</v>
      </c>
      <c r="J14">
        <v>6</v>
      </c>
      <c r="K14">
        <v>2747.0007999999998</v>
      </c>
      <c r="L14">
        <v>25</v>
      </c>
      <c r="M14">
        <v>18709</v>
      </c>
      <c r="N14">
        <v>32.0586696601707</v>
      </c>
      <c r="O14">
        <v>-32.0586696601707</v>
      </c>
      <c r="P14">
        <v>5</v>
      </c>
    </row>
    <row r="15" spans="1:16" x14ac:dyDescent="0.35">
      <c r="A15">
        <v>14</v>
      </c>
      <c r="B15">
        <v>14</v>
      </c>
      <c r="C15">
        <v>0.8</v>
      </c>
      <c r="D15">
        <v>10</v>
      </c>
      <c r="E15">
        <v>1815.528</v>
      </c>
      <c r="F15">
        <v>22</v>
      </c>
      <c r="G15">
        <v>10378</v>
      </c>
      <c r="H15">
        <v>17.513272025027302</v>
      </c>
      <c r="I15">
        <v>-17.513272025027302</v>
      </c>
      <c r="J15">
        <v>10</v>
      </c>
      <c r="K15">
        <v>1521.5039999999999</v>
      </c>
      <c r="L15">
        <v>12</v>
      </c>
      <c r="M15">
        <v>10245</v>
      </c>
      <c r="N15">
        <v>14.560318112235899</v>
      </c>
      <c r="O15">
        <v>-14.560318112235899</v>
      </c>
      <c r="P15">
        <v>3</v>
      </c>
    </row>
    <row r="16" spans="1:16" x14ac:dyDescent="0.35">
      <c r="A16">
        <v>15</v>
      </c>
      <c r="B16">
        <v>15</v>
      </c>
      <c r="C16">
        <v>0.8</v>
      </c>
      <c r="D16">
        <v>20</v>
      </c>
      <c r="E16">
        <v>1161.0804000000001</v>
      </c>
      <c r="F16">
        <v>14</v>
      </c>
      <c r="G16">
        <v>4579</v>
      </c>
      <c r="H16">
        <v>9.6885459038761006</v>
      </c>
      <c r="I16">
        <v>-9.6885459038761006</v>
      </c>
      <c r="J16">
        <v>7</v>
      </c>
      <c r="K16">
        <v>1052.8132000000001</v>
      </c>
      <c r="L16">
        <v>6</v>
      </c>
      <c r="M16">
        <v>3978</v>
      </c>
      <c r="N16">
        <v>8.6446507192808895</v>
      </c>
      <c r="O16">
        <v>-8.6446507192808895</v>
      </c>
      <c r="P16">
        <v>5</v>
      </c>
    </row>
    <row r="17" spans="1:16" x14ac:dyDescent="0.35">
      <c r="A17">
        <v>16</v>
      </c>
      <c r="B17">
        <v>16</v>
      </c>
      <c r="C17">
        <v>0.8</v>
      </c>
      <c r="D17">
        <v>40</v>
      </c>
      <c r="E17">
        <v>849.75620000000004</v>
      </c>
      <c r="F17">
        <v>9</v>
      </c>
      <c r="G17">
        <v>1881</v>
      </c>
      <c r="H17">
        <v>6.7851962572914601</v>
      </c>
      <c r="I17">
        <v>-6.7851962572914601</v>
      </c>
      <c r="J17">
        <v>10</v>
      </c>
      <c r="K17">
        <v>820.19159999999999</v>
      </c>
      <c r="L17">
        <v>3</v>
      </c>
      <c r="M17">
        <v>1792</v>
      </c>
      <c r="N17">
        <v>6.6088097333110003</v>
      </c>
      <c r="O17">
        <v>-6.6088097333110003</v>
      </c>
      <c r="P17">
        <v>3</v>
      </c>
    </row>
    <row r="18" spans="1:16" x14ac:dyDescent="0.35">
      <c r="A18">
        <v>17</v>
      </c>
      <c r="B18">
        <v>17</v>
      </c>
      <c r="C18">
        <v>0.8</v>
      </c>
      <c r="D18">
        <v>80</v>
      </c>
      <c r="E18">
        <v>666.202</v>
      </c>
      <c r="F18">
        <v>6</v>
      </c>
      <c r="G18">
        <v>1436</v>
      </c>
      <c r="H18">
        <v>5.4462634269986703</v>
      </c>
      <c r="I18">
        <v>-5.4462634269986703</v>
      </c>
      <c r="J18">
        <v>11</v>
      </c>
      <c r="K18">
        <v>660.55859999999996</v>
      </c>
      <c r="L18">
        <v>2</v>
      </c>
      <c r="M18">
        <v>1417</v>
      </c>
      <c r="N18">
        <v>5.3601265716940798</v>
      </c>
      <c r="O18">
        <v>-5.3601265716940798</v>
      </c>
      <c r="P18">
        <v>7</v>
      </c>
    </row>
    <row r="19" spans="1:16" x14ac:dyDescent="0.35">
      <c r="A19">
        <v>18</v>
      </c>
      <c r="B19">
        <v>18</v>
      </c>
      <c r="C19">
        <v>0.8</v>
      </c>
      <c r="D19">
        <v>160</v>
      </c>
      <c r="E19">
        <v>541.93280000000004</v>
      </c>
      <c r="F19">
        <v>4</v>
      </c>
      <c r="G19">
        <v>1115</v>
      </c>
      <c r="H19">
        <v>4.4127859536585898</v>
      </c>
      <c r="I19">
        <v>-4.4127859536585898</v>
      </c>
      <c r="J19">
        <v>3</v>
      </c>
      <c r="K19">
        <v>562.57100000000003</v>
      </c>
      <c r="L19">
        <v>1</v>
      </c>
      <c r="M19">
        <v>1155</v>
      </c>
      <c r="N19">
        <v>4.6165636575055196</v>
      </c>
      <c r="O19">
        <v>-4.6165636575055196</v>
      </c>
      <c r="P19">
        <v>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82"/>
  <sheetViews>
    <sheetView topLeftCell="B3" zoomScaleNormal="100" workbookViewId="0">
      <selection activeCell="B3" sqref="B3"/>
    </sheetView>
  </sheetViews>
  <sheetFormatPr defaultColWidth="8.54296875" defaultRowHeight="14.5" x14ac:dyDescent="0.35"/>
  <cols>
    <col min="18" max="18" width="8.54296875" style="1"/>
  </cols>
  <sheetData>
    <row r="2" spans="2:25" x14ac:dyDescent="0.35">
      <c r="S2" t="s">
        <v>58</v>
      </c>
    </row>
    <row r="3" spans="2:25" x14ac:dyDescent="0.35">
      <c r="B3" t="s">
        <v>15</v>
      </c>
      <c r="S3" t="s">
        <v>1</v>
      </c>
      <c r="T3">
        <v>0.2</v>
      </c>
      <c r="U3">
        <v>0.2</v>
      </c>
      <c r="V3">
        <v>0.2</v>
      </c>
      <c r="W3">
        <v>0.2</v>
      </c>
      <c r="X3">
        <v>0.2</v>
      </c>
      <c r="Y3">
        <v>0.2</v>
      </c>
    </row>
    <row r="4" spans="2:25" x14ac:dyDescent="0.35">
      <c r="B4" t="s">
        <v>2</v>
      </c>
      <c r="C4">
        <v>5</v>
      </c>
      <c r="D4">
        <v>10</v>
      </c>
      <c r="E4">
        <v>20</v>
      </c>
      <c r="F4">
        <v>40</v>
      </c>
      <c r="G4">
        <v>80</v>
      </c>
      <c r="H4">
        <v>160</v>
      </c>
      <c r="S4" t="s">
        <v>2</v>
      </c>
      <c r="T4">
        <v>5</v>
      </c>
      <c r="U4">
        <v>10</v>
      </c>
      <c r="V4">
        <v>20</v>
      </c>
      <c r="W4">
        <v>40</v>
      </c>
      <c r="X4">
        <v>80</v>
      </c>
      <c r="Y4">
        <v>160</v>
      </c>
    </row>
    <row r="5" spans="2:25" x14ac:dyDescent="0.35">
      <c r="B5" t="s">
        <v>3</v>
      </c>
      <c r="C5">
        <f t="shared" ref="C5:C14" si="0">T5/1000</f>
        <v>18.167952399999997</v>
      </c>
      <c r="D5">
        <f t="shared" ref="D5:D14" si="1">U5/1000</f>
        <v>8.8535141999999993</v>
      </c>
      <c r="E5">
        <f t="shared" ref="E5:E14" si="2">V5/1000</f>
        <v>4.5577474000000002</v>
      </c>
      <c r="F5">
        <f t="shared" ref="F5:F14" si="3">W5/1000</f>
        <v>2.5461182</v>
      </c>
      <c r="G5">
        <f t="shared" ref="G5:G14" si="4">X5/1000</f>
        <v>1.508389</v>
      </c>
      <c r="H5">
        <f t="shared" ref="H5:H14" si="5">Y5/1000</f>
        <v>1.0344544</v>
      </c>
      <c r="S5" t="s">
        <v>3</v>
      </c>
      <c r="T5">
        <v>18167.952399999998</v>
      </c>
      <c r="U5">
        <v>8853.5141999999996</v>
      </c>
      <c r="V5">
        <v>4557.7474000000002</v>
      </c>
      <c r="W5">
        <v>2546.1181999999999</v>
      </c>
      <c r="X5">
        <v>1508.3889999999999</v>
      </c>
      <c r="Y5">
        <v>1034.4544000000001</v>
      </c>
    </row>
    <row r="6" spans="2:25" x14ac:dyDescent="0.35">
      <c r="B6" t="s">
        <v>4</v>
      </c>
      <c r="C6">
        <f t="shared" si="0"/>
        <v>9.7000000000000003E-2</v>
      </c>
      <c r="D6">
        <f t="shared" si="1"/>
        <v>4.4999999999999998E-2</v>
      </c>
      <c r="E6">
        <f t="shared" si="2"/>
        <v>2.5999999999999999E-2</v>
      </c>
      <c r="F6">
        <f t="shared" si="3"/>
        <v>1.2999999999999999E-2</v>
      </c>
      <c r="G6">
        <f t="shared" si="4"/>
        <v>6.0000000000000001E-3</v>
      </c>
      <c r="H6">
        <f t="shared" si="5"/>
        <v>5.0000000000000001E-3</v>
      </c>
      <c r="S6" t="s">
        <v>4</v>
      </c>
      <c r="T6">
        <v>97</v>
      </c>
      <c r="U6">
        <v>45</v>
      </c>
      <c r="V6">
        <v>26</v>
      </c>
      <c r="W6">
        <v>13</v>
      </c>
      <c r="X6">
        <v>6</v>
      </c>
      <c r="Y6">
        <v>5</v>
      </c>
    </row>
    <row r="7" spans="2:25" x14ac:dyDescent="0.35">
      <c r="B7" t="s">
        <v>5</v>
      </c>
      <c r="C7">
        <f t="shared" si="0"/>
        <v>162.494</v>
      </c>
      <c r="D7">
        <f t="shared" si="1"/>
        <v>103.85899999999999</v>
      </c>
      <c r="E7">
        <f t="shared" si="2"/>
        <v>36.066000000000003</v>
      </c>
      <c r="F7">
        <f t="shared" si="3"/>
        <v>22.059000000000001</v>
      </c>
      <c r="G7">
        <f t="shared" si="4"/>
        <v>13.535</v>
      </c>
      <c r="H7">
        <f t="shared" si="5"/>
        <v>7.8179999999999996</v>
      </c>
      <c r="S7" t="s">
        <v>5</v>
      </c>
      <c r="T7">
        <v>162494</v>
      </c>
      <c r="U7">
        <v>103859</v>
      </c>
      <c r="V7">
        <v>36066</v>
      </c>
      <c r="W7">
        <v>22059</v>
      </c>
      <c r="X7">
        <v>13535</v>
      </c>
      <c r="Y7">
        <v>7818</v>
      </c>
    </row>
    <row r="8" spans="2:25" x14ac:dyDescent="0.35">
      <c r="B8" t="s">
        <v>6</v>
      </c>
      <c r="C8">
        <f t="shared" si="0"/>
        <v>0.25677943613839399</v>
      </c>
      <c r="D8">
        <f t="shared" si="1"/>
        <v>0.12358017893628799</v>
      </c>
      <c r="E8">
        <f t="shared" si="2"/>
        <v>6.2614409471089996E-2</v>
      </c>
      <c r="F8">
        <f t="shared" si="3"/>
        <v>3.4818803846571399E-2</v>
      </c>
      <c r="G8">
        <f t="shared" si="4"/>
        <v>2.0075660695635201E-2</v>
      </c>
      <c r="H8">
        <f t="shared" si="5"/>
        <v>1.2784675512883498E-2</v>
      </c>
      <c r="S8" t="s">
        <v>6</v>
      </c>
      <c r="T8">
        <v>256.77943613839398</v>
      </c>
      <c r="U8">
        <v>123.58017893628799</v>
      </c>
      <c r="V8">
        <v>62.614409471089999</v>
      </c>
      <c r="W8">
        <v>34.818803846571399</v>
      </c>
      <c r="X8">
        <v>20.0756606956352</v>
      </c>
      <c r="Y8">
        <v>12.784675512883499</v>
      </c>
    </row>
    <row r="9" spans="2:25" x14ac:dyDescent="0.35">
      <c r="B9" t="s">
        <v>7</v>
      </c>
      <c r="C9">
        <f t="shared" si="0"/>
        <v>-0.25677943613839399</v>
      </c>
      <c r="D9">
        <f t="shared" si="1"/>
        <v>-0.12358017893628799</v>
      </c>
      <c r="E9">
        <f t="shared" si="2"/>
        <v>-6.2614409471089996E-2</v>
      </c>
      <c r="F9">
        <f t="shared" si="3"/>
        <v>-3.4818803846571399E-2</v>
      </c>
      <c r="G9">
        <f t="shared" si="4"/>
        <v>-2.0075660695635201E-2</v>
      </c>
      <c r="H9">
        <f t="shared" si="5"/>
        <v>-1.2784675512883498E-2</v>
      </c>
      <c r="S9" t="s">
        <v>7</v>
      </c>
      <c r="T9">
        <v>-256.77943613839398</v>
      </c>
      <c r="U9">
        <v>-123.58017893628799</v>
      </c>
      <c r="V9">
        <v>-62.614409471089999</v>
      </c>
      <c r="W9">
        <v>-34.818803846571399</v>
      </c>
      <c r="X9">
        <v>-20.0756606956352</v>
      </c>
      <c r="Y9">
        <v>-12.784675512883499</v>
      </c>
    </row>
    <row r="10" spans="2:25" x14ac:dyDescent="0.35">
      <c r="B10" t="s">
        <v>9</v>
      </c>
      <c r="C10">
        <f t="shared" si="0"/>
        <v>14.3946524</v>
      </c>
      <c r="D10">
        <f t="shared" si="1"/>
        <v>6.2498541999999997</v>
      </c>
      <c r="E10">
        <f t="shared" si="2"/>
        <v>3.0828224</v>
      </c>
      <c r="F10">
        <f t="shared" si="3"/>
        <v>1.6005</v>
      </c>
      <c r="G10">
        <f t="shared" si="4"/>
        <v>0.97100399999999998</v>
      </c>
      <c r="H10">
        <f t="shared" si="5"/>
        <v>0.66275280000000003</v>
      </c>
      <c r="S10" t="s">
        <v>9</v>
      </c>
      <c r="T10">
        <v>14394.652400000001</v>
      </c>
      <c r="U10">
        <v>6249.8541999999998</v>
      </c>
      <c r="V10">
        <v>3082.8224</v>
      </c>
      <c r="W10">
        <v>1600.5</v>
      </c>
      <c r="X10">
        <v>971.00400000000002</v>
      </c>
      <c r="Y10">
        <v>662.75279999999998</v>
      </c>
    </row>
    <row r="11" spans="2:25" x14ac:dyDescent="0.35">
      <c r="B11" t="s">
        <v>10</v>
      </c>
      <c r="C11">
        <f t="shared" si="0"/>
        <v>9.4E-2</v>
      </c>
      <c r="D11">
        <f t="shared" si="1"/>
        <v>3.1E-2</v>
      </c>
      <c r="E11">
        <f t="shared" si="2"/>
        <v>0.02</v>
      </c>
      <c r="F11">
        <f t="shared" si="3"/>
        <v>1.0999999999999999E-2</v>
      </c>
      <c r="G11">
        <f t="shared" si="4"/>
        <v>6.0000000000000001E-3</v>
      </c>
      <c r="H11">
        <f t="shared" si="5"/>
        <v>3.0000000000000001E-3</v>
      </c>
      <c r="S11" t="s">
        <v>10</v>
      </c>
      <c r="T11">
        <v>94</v>
      </c>
      <c r="U11">
        <v>31</v>
      </c>
      <c r="V11">
        <v>20</v>
      </c>
      <c r="W11">
        <v>11</v>
      </c>
      <c r="X11">
        <v>6</v>
      </c>
      <c r="Y11">
        <v>3</v>
      </c>
    </row>
    <row r="12" spans="2:25" x14ac:dyDescent="0.35">
      <c r="B12" t="s">
        <v>11</v>
      </c>
      <c r="C12">
        <f t="shared" si="0"/>
        <v>138.72999999999999</v>
      </c>
      <c r="D12">
        <f t="shared" si="1"/>
        <v>58.261000000000003</v>
      </c>
      <c r="E12">
        <f t="shared" si="2"/>
        <v>28.832999999999998</v>
      </c>
      <c r="F12">
        <f t="shared" si="3"/>
        <v>12.478999999999999</v>
      </c>
      <c r="G12">
        <f t="shared" si="4"/>
        <v>6.9720000000000004</v>
      </c>
      <c r="H12">
        <f t="shared" si="5"/>
        <v>3.645</v>
      </c>
      <c r="S12" t="s">
        <v>11</v>
      </c>
      <c r="T12">
        <v>138730</v>
      </c>
      <c r="U12">
        <v>58261</v>
      </c>
      <c r="V12">
        <v>28833</v>
      </c>
      <c r="W12">
        <v>12479</v>
      </c>
      <c r="X12">
        <v>6972</v>
      </c>
      <c r="Y12">
        <v>3645</v>
      </c>
    </row>
    <row r="13" spans="2:25" x14ac:dyDescent="0.35">
      <c r="B13" t="s">
        <v>12</v>
      </c>
      <c r="C13">
        <f t="shared" si="0"/>
        <v>0.20224315322037401</v>
      </c>
      <c r="D13">
        <f t="shared" si="1"/>
        <v>8.3599806935018603E-2</v>
      </c>
      <c r="E13">
        <f t="shared" si="2"/>
        <v>4.0576899312826001E-2</v>
      </c>
      <c r="F13">
        <f t="shared" si="3"/>
        <v>1.8511399922896701E-2</v>
      </c>
      <c r="G13">
        <f t="shared" si="4"/>
        <v>9.7053790030641601E-3</v>
      </c>
      <c r="H13">
        <f t="shared" si="5"/>
        <v>5.8740371603305504E-3</v>
      </c>
      <c r="S13" t="s">
        <v>12</v>
      </c>
      <c r="T13">
        <v>202.24315322037401</v>
      </c>
      <c r="U13">
        <v>83.599806935018606</v>
      </c>
      <c r="V13">
        <v>40.576899312826001</v>
      </c>
      <c r="W13">
        <v>18.5113999228967</v>
      </c>
      <c r="X13">
        <v>9.7053790030641593</v>
      </c>
      <c r="Y13">
        <v>5.8740371603305501</v>
      </c>
    </row>
    <row r="14" spans="2:25" x14ac:dyDescent="0.35">
      <c r="B14" t="s">
        <v>13</v>
      </c>
      <c r="C14">
        <f t="shared" si="0"/>
        <v>-0.20224315322037401</v>
      </c>
      <c r="D14">
        <f t="shared" si="1"/>
        <v>-8.3599806935018603E-2</v>
      </c>
      <c r="E14">
        <f t="shared" si="2"/>
        <v>-4.0576899312826001E-2</v>
      </c>
      <c r="F14">
        <f t="shared" si="3"/>
        <v>-1.8511399922896701E-2</v>
      </c>
      <c r="G14">
        <f t="shared" si="4"/>
        <v>-9.7053790030641601E-3</v>
      </c>
      <c r="H14">
        <f t="shared" si="5"/>
        <v>-5.8740371603305504E-3</v>
      </c>
      <c r="S14" t="s">
        <v>13</v>
      </c>
      <c r="T14">
        <v>-202.24315322037401</v>
      </c>
      <c r="U14">
        <v>-83.599806935018606</v>
      </c>
      <c r="V14">
        <v>-40.576899312826001</v>
      </c>
      <c r="W14">
        <v>-18.5113999228967</v>
      </c>
      <c r="X14">
        <v>-9.7053790030641593</v>
      </c>
      <c r="Y14">
        <v>-5.8740371603305501</v>
      </c>
    </row>
    <row r="16" spans="2:25" x14ac:dyDescent="0.35">
      <c r="B16" t="s">
        <v>16</v>
      </c>
    </row>
    <row r="17" spans="2:25" x14ac:dyDescent="0.35">
      <c r="B17" t="s">
        <v>2</v>
      </c>
      <c r="C17">
        <v>5</v>
      </c>
      <c r="D17">
        <v>10</v>
      </c>
      <c r="E17">
        <v>20</v>
      </c>
      <c r="F17">
        <v>40</v>
      </c>
      <c r="G17">
        <v>80</v>
      </c>
      <c r="H17">
        <v>160</v>
      </c>
      <c r="R17" s="1" t="s">
        <v>17</v>
      </c>
      <c r="S17" t="s">
        <v>18</v>
      </c>
      <c r="T17">
        <v>5</v>
      </c>
      <c r="U17">
        <v>10</v>
      </c>
      <c r="V17">
        <v>20</v>
      </c>
      <c r="W17">
        <v>40</v>
      </c>
      <c r="X17">
        <v>80</v>
      </c>
      <c r="Y17">
        <v>160</v>
      </c>
    </row>
    <row r="18" spans="2:25" x14ac:dyDescent="0.35">
      <c r="B18" t="s">
        <v>19</v>
      </c>
      <c r="C18">
        <f t="shared" ref="C18:C27" si="6">T18/1000</f>
        <v>90.839761999999993</v>
      </c>
      <c r="D18">
        <f t="shared" ref="D18:D27" si="7">U18/1000</f>
        <v>88.535141999999993</v>
      </c>
      <c r="E18">
        <f t="shared" ref="E18:E27" si="8">V18/1000</f>
        <v>91.154948000000005</v>
      </c>
      <c r="F18">
        <f t="shared" ref="F18:F27" si="9">W18/1000</f>
        <v>101.844728</v>
      </c>
      <c r="G18">
        <f t="shared" ref="G18:G27" si="10">X18/1000</f>
        <v>120.67112</v>
      </c>
      <c r="H18">
        <f t="shared" ref="H18:H27" si="11">Y18/1000</f>
        <v>165.51270400000001</v>
      </c>
      <c r="R18" s="1" t="s">
        <v>20</v>
      </c>
      <c r="T18">
        <f t="shared" ref="T18:T27" si="12">T5*5</f>
        <v>90839.761999999988</v>
      </c>
      <c r="U18">
        <f t="shared" ref="U18:U27" si="13">U5*10</f>
        <v>88535.141999999993</v>
      </c>
      <c r="V18">
        <f t="shared" ref="V18:V27" si="14">V5*20</f>
        <v>91154.948000000004</v>
      </c>
      <c r="W18">
        <f t="shared" ref="W18:W27" si="15">W5*40</f>
        <v>101844.728</v>
      </c>
      <c r="X18">
        <f t="shared" ref="X18:X27" si="16">X5*80</f>
        <v>120671.12</v>
      </c>
      <c r="Y18">
        <f t="shared" ref="Y18:Y27" si="17">Y5*160</f>
        <v>165512.70400000003</v>
      </c>
    </row>
    <row r="19" spans="2:25" x14ac:dyDescent="0.35">
      <c r="B19" t="s">
        <v>4</v>
      </c>
      <c r="C19">
        <f t="shared" si="6"/>
        <v>0.48499999999999999</v>
      </c>
      <c r="D19">
        <f t="shared" si="7"/>
        <v>0.45</v>
      </c>
      <c r="E19">
        <f t="shared" si="8"/>
        <v>0.52</v>
      </c>
      <c r="F19">
        <f t="shared" si="9"/>
        <v>0.52</v>
      </c>
      <c r="G19">
        <f t="shared" si="10"/>
        <v>0.48</v>
      </c>
      <c r="H19">
        <f t="shared" si="11"/>
        <v>0.8</v>
      </c>
      <c r="R19" s="1" t="s">
        <v>21</v>
      </c>
      <c r="T19">
        <f t="shared" si="12"/>
        <v>485</v>
      </c>
      <c r="U19">
        <f t="shared" si="13"/>
        <v>450</v>
      </c>
      <c r="V19">
        <f t="shared" si="14"/>
        <v>520</v>
      </c>
      <c r="W19">
        <f t="shared" si="15"/>
        <v>520</v>
      </c>
      <c r="X19">
        <f t="shared" si="16"/>
        <v>480</v>
      </c>
      <c r="Y19">
        <f t="shared" si="17"/>
        <v>800</v>
      </c>
    </row>
    <row r="20" spans="2:25" x14ac:dyDescent="0.35">
      <c r="B20" t="s">
        <v>5</v>
      </c>
      <c r="C20">
        <f t="shared" si="6"/>
        <v>812.47</v>
      </c>
      <c r="D20">
        <f t="shared" si="7"/>
        <v>1038.5899999999999</v>
      </c>
      <c r="E20">
        <f t="shared" si="8"/>
        <v>721.32</v>
      </c>
      <c r="F20">
        <f t="shared" si="9"/>
        <v>882.36</v>
      </c>
      <c r="G20">
        <f t="shared" si="10"/>
        <v>1082.8</v>
      </c>
      <c r="H20">
        <f t="shared" si="11"/>
        <v>1250.8800000000001</v>
      </c>
      <c r="R20" s="1" t="s">
        <v>22</v>
      </c>
      <c r="T20">
        <f t="shared" si="12"/>
        <v>812470</v>
      </c>
      <c r="U20">
        <f t="shared" si="13"/>
        <v>1038590</v>
      </c>
      <c r="V20">
        <f t="shared" si="14"/>
        <v>721320</v>
      </c>
      <c r="W20">
        <f t="shared" si="15"/>
        <v>882360</v>
      </c>
      <c r="X20">
        <f t="shared" si="16"/>
        <v>1082800</v>
      </c>
      <c r="Y20">
        <f t="shared" si="17"/>
        <v>1250880</v>
      </c>
    </row>
    <row r="21" spans="2:25" x14ac:dyDescent="0.35">
      <c r="B21" t="s">
        <v>6</v>
      </c>
      <c r="C21">
        <f t="shared" si="6"/>
        <v>1.2838971806919699</v>
      </c>
      <c r="D21">
        <f t="shared" si="7"/>
        <v>1.2358017893628799</v>
      </c>
      <c r="E21">
        <f t="shared" si="8"/>
        <v>1.2522881894217999</v>
      </c>
      <c r="F21">
        <f t="shared" si="9"/>
        <v>1.392752153862856</v>
      </c>
      <c r="G21">
        <f t="shared" si="10"/>
        <v>1.6060528556508162</v>
      </c>
      <c r="H21">
        <f t="shared" si="11"/>
        <v>2.0455480820613596</v>
      </c>
      <c r="R21" s="1" t="s">
        <v>23</v>
      </c>
      <c r="T21">
        <f t="shared" si="12"/>
        <v>1283.8971806919699</v>
      </c>
      <c r="U21">
        <f t="shared" si="13"/>
        <v>1235.8017893628798</v>
      </c>
      <c r="V21">
        <f t="shared" si="14"/>
        <v>1252.2881894217999</v>
      </c>
      <c r="W21">
        <f t="shared" si="15"/>
        <v>1392.7521538628559</v>
      </c>
      <c r="X21">
        <f t="shared" si="16"/>
        <v>1606.0528556508161</v>
      </c>
      <c r="Y21">
        <f t="shared" si="17"/>
        <v>2045.5480820613598</v>
      </c>
    </row>
    <row r="22" spans="2:25" x14ac:dyDescent="0.35">
      <c r="B22" t="s">
        <v>7</v>
      </c>
      <c r="C22">
        <f t="shared" si="6"/>
        <v>-1.2838971806919699</v>
      </c>
      <c r="D22">
        <f t="shared" si="7"/>
        <v>-1.2358017893628799</v>
      </c>
      <c r="E22">
        <f t="shared" si="8"/>
        <v>-1.2522881894217999</v>
      </c>
      <c r="F22">
        <f t="shared" si="9"/>
        <v>-1.392752153862856</v>
      </c>
      <c r="G22">
        <f t="shared" si="10"/>
        <v>-1.6060528556508162</v>
      </c>
      <c r="H22">
        <f t="shared" si="11"/>
        <v>-2.0455480820613596</v>
      </c>
      <c r="R22" s="1" t="s">
        <v>24</v>
      </c>
      <c r="T22">
        <f t="shared" si="12"/>
        <v>-1283.8971806919699</v>
      </c>
      <c r="U22">
        <f t="shared" si="13"/>
        <v>-1235.8017893628798</v>
      </c>
      <c r="V22">
        <f t="shared" si="14"/>
        <v>-1252.2881894217999</v>
      </c>
      <c r="W22">
        <f t="shared" si="15"/>
        <v>-1392.7521538628559</v>
      </c>
      <c r="X22">
        <f t="shared" si="16"/>
        <v>-1606.0528556508161</v>
      </c>
      <c r="Y22">
        <f t="shared" si="17"/>
        <v>-2045.5480820613598</v>
      </c>
    </row>
    <row r="23" spans="2:25" x14ac:dyDescent="0.35">
      <c r="B23" t="s">
        <v>25</v>
      </c>
      <c r="C23">
        <f t="shared" si="6"/>
        <v>71.973262000000005</v>
      </c>
      <c r="D23">
        <f t="shared" si="7"/>
        <v>62.498542</v>
      </c>
      <c r="E23">
        <f t="shared" si="8"/>
        <v>61.656448000000005</v>
      </c>
      <c r="F23">
        <f t="shared" si="9"/>
        <v>64.02</v>
      </c>
      <c r="G23">
        <f t="shared" si="10"/>
        <v>77.680320000000009</v>
      </c>
      <c r="H23">
        <f t="shared" si="11"/>
        <v>106.040448</v>
      </c>
      <c r="R23" s="1" t="s">
        <v>23</v>
      </c>
      <c r="T23">
        <f t="shared" si="12"/>
        <v>71973.262000000002</v>
      </c>
      <c r="U23">
        <f t="shared" si="13"/>
        <v>62498.542000000001</v>
      </c>
      <c r="V23">
        <f t="shared" si="14"/>
        <v>61656.448000000004</v>
      </c>
      <c r="W23">
        <f t="shared" si="15"/>
        <v>64020</v>
      </c>
      <c r="X23">
        <f t="shared" si="16"/>
        <v>77680.320000000007</v>
      </c>
      <c r="Y23">
        <f t="shared" si="17"/>
        <v>106040.448</v>
      </c>
    </row>
    <row r="24" spans="2:25" x14ac:dyDescent="0.35">
      <c r="B24" t="s">
        <v>10</v>
      </c>
      <c r="C24">
        <f t="shared" si="6"/>
        <v>0.47</v>
      </c>
      <c r="D24">
        <f t="shared" si="7"/>
        <v>0.31</v>
      </c>
      <c r="E24">
        <f t="shared" si="8"/>
        <v>0.4</v>
      </c>
      <c r="F24">
        <f t="shared" si="9"/>
        <v>0.44</v>
      </c>
      <c r="G24">
        <f t="shared" si="10"/>
        <v>0.48</v>
      </c>
      <c r="H24">
        <f t="shared" si="11"/>
        <v>0.48</v>
      </c>
      <c r="R24" s="1" t="s">
        <v>26</v>
      </c>
      <c r="T24">
        <f t="shared" si="12"/>
        <v>470</v>
      </c>
      <c r="U24">
        <f t="shared" si="13"/>
        <v>310</v>
      </c>
      <c r="V24">
        <f t="shared" si="14"/>
        <v>400</v>
      </c>
      <c r="W24">
        <f t="shared" si="15"/>
        <v>440</v>
      </c>
      <c r="X24">
        <f t="shared" si="16"/>
        <v>480</v>
      </c>
      <c r="Y24">
        <f t="shared" si="17"/>
        <v>480</v>
      </c>
    </row>
    <row r="25" spans="2:25" x14ac:dyDescent="0.35">
      <c r="B25" t="s">
        <v>11</v>
      </c>
      <c r="C25">
        <f t="shared" si="6"/>
        <v>693.65</v>
      </c>
      <c r="D25">
        <f t="shared" si="7"/>
        <v>582.61</v>
      </c>
      <c r="E25">
        <f t="shared" si="8"/>
        <v>576.66</v>
      </c>
      <c r="F25">
        <f t="shared" si="9"/>
        <v>499.16</v>
      </c>
      <c r="G25">
        <f t="shared" si="10"/>
        <v>557.76</v>
      </c>
      <c r="H25">
        <f t="shared" si="11"/>
        <v>583.20000000000005</v>
      </c>
      <c r="R25" s="1" t="s">
        <v>20</v>
      </c>
      <c r="T25">
        <f t="shared" si="12"/>
        <v>693650</v>
      </c>
      <c r="U25">
        <f t="shared" si="13"/>
        <v>582610</v>
      </c>
      <c r="V25">
        <f t="shared" si="14"/>
        <v>576660</v>
      </c>
      <c r="W25">
        <f t="shared" si="15"/>
        <v>499160</v>
      </c>
      <c r="X25">
        <f t="shared" si="16"/>
        <v>557760</v>
      </c>
      <c r="Y25">
        <f t="shared" si="17"/>
        <v>583200</v>
      </c>
    </row>
    <row r="26" spans="2:25" x14ac:dyDescent="0.35">
      <c r="B26" t="s">
        <v>12</v>
      </c>
      <c r="C26">
        <f t="shared" si="6"/>
        <v>1.0112157661018701</v>
      </c>
      <c r="D26">
        <f t="shared" si="7"/>
        <v>0.83599806935018606</v>
      </c>
      <c r="E26">
        <f t="shared" si="8"/>
        <v>0.81153798625652007</v>
      </c>
      <c r="F26">
        <f t="shared" si="9"/>
        <v>0.74045599691586805</v>
      </c>
      <c r="G26">
        <f t="shared" si="10"/>
        <v>0.7764303202451327</v>
      </c>
      <c r="H26">
        <f t="shared" si="11"/>
        <v>0.93984594565288804</v>
      </c>
      <c r="R26" s="1" t="s">
        <v>27</v>
      </c>
      <c r="T26">
        <f t="shared" si="12"/>
        <v>1011.21576610187</v>
      </c>
      <c r="U26">
        <f t="shared" si="13"/>
        <v>835.99806935018603</v>
      </c>
      <c r="V26">
        <f t="shared" si="14"/>
        <v>811.53798625652007</v>
      </c>
      <c r="W26">
        <f t="shared" si="15"/>
        <v>740.45599691586801</v>
      </c>
      <c r="X26">
        <f t="shared" si="16"/>
        <v>776.43032024513275</v>
      </c>
      <c r="Y26">
        <f t="shared" si="17"/>
        <v>939.84594565288808</v>
      </c>
    </row>
    <row r="27" spans="2:25" x14ac:dyDescent="0.35">
      <c r="B27" t="s">
        <v>13</v>
      </c>
      <c r="C27">
        <f t="shared" si="6"/>
        <v>-1.0112157661018701</v>
      </c>
      <c r="D27">
        <f t="shared" si="7"/>
        <v>-0.83599806935018606</v>
      </c>
      <c r="E27">
        <f t="shared" si="8"/>
        <v>-0.81153798625652007</v>
      </c>
      <c r="F27">
        <f t="shared" si="9"/>
        <v>-0.74045599691586805</v>
      </c>
      <c r="G27">
        <f t="shared" si="10"/>
        <v>-0.7764303202451327</v>
      </c>
      <c r="H27">
        <f t="shared" si="11"/>
        <v>-0.93984594565288804</v>
      </c>
      <c r="R27" s="1" t="s">
        <v>22</v>
      </c>
      <c r="T27">
        <f t="shared" si="12"/>
        <v>-1011.21576610187</v>
      </c>
      <c r="U27">
        <f t="shared" si="13"/>
        <v>-835.99806935018603</v>
      </c>
      <c r="V27">
        <f t="shared" si="14"/>
        <v>-811.53798625652007</v>
      </c>
      <c r="W27">
        <f t="shared" si="15"/>
        <v>-740.45599691586801</v>
      </c>
      <c r="X27">
        <f t="shared" si="16"/>
        <v>-776.43032024513275</v>
      </c>
      <c r="Y27">
        <f t="shared" si="17"/>
        <v>-939.84594565288808</v>
      </c>
    </row>
    <row r="28" spans="2:25" x14ac:dyDescent="0.35">
      <c r="R28" s="1" t="s">
        <v>28</v>
      </c>
    </row>
    <row r="30" spans="2:25" x14ac:dyDescent="0.35">
      <c r="B30" t="s">
        <v>29</v>
      </c>
      <c r="S30" t="s">
        <v>1</v>
      </c>
      <c r="T30">
        <v>0.4</v>
      </c>
      <c r="U30">
        <v>0.4</v>
      </c>
      <c r="V30">
        <v>0.4</v>
      </c>
      <c r="W30">
        <v>0.4</v>
      </c>
      <c r="X30">
        <v>0.4</v>
      </c>
      <c r="Y30">
        <v>0.4</v>
      </c>
    </row>
    <row r="31" spans="2:25" x14ac:dyDescent="0.35">
      <c r="B31" t="s">
        <v>2</v>
      </c>
      <c r="C31">
        <v>5</v>
      </c>
      <c r="D31">
        <v>10</v>
      </c>
      <c r="E31">
        <v>20</v>
      </c>
      <c r="F31">
        <v>40</v>
      </c>
      <c r="G31">
        <v>80</v>
      </c>
      <c r="H31">
        <v>160</v>
      </c>
      <c r="S31" t="s">
        <v>2</v>
      </c>
      <c r="T31">
        <v>5</v>
      </c>
      <c r="U31">
        <v>10</v>
      </c>
      <c r="V31">
        <v>20</v>
      </c>
      <c r="W31">
        <v>40</v>
      </c>
      <c r="X31">
        <v>80</v>
      </c>
      <c r="Y31">
        <v>160</v>
      </c>
    </row>
    <row r="32" spans="2:25" x14ac:dyDescent="0.35">
      <c r="B32" t="s">
        <v>3</v>
      </c>
      <c r="C32">
        <f t="shared" ref="C32:C41" si="18">T32/1000</f>
        <v>6.4288587999999995</v>
      </c>
      <c r="D32">
        <f t="shared" ref="D32:D41" si="19">U32/1000</f>
        <v>3.0855729999999997</v>
      </c>
      <c r="E32">
        <f t="shared" ref="E32:E41" si="20">V32/1000</f>
        <v>1.598943</v>
      </c>
      <c r="F32">
        <f t="shared" ref="F32:F41" si="21">W32/1000</f>
        <v>0.95942240000000001</v>
      </c>
      <c r="G32">
        <f t="shared" ref="G32:G41" si="22">X32/1000</f>
        <v>0.69105620000000001</v>
      </c>
      <c r="H32">
        <f t="shared" ref="H32:H41" si="23">Y32/1000</f>
        <v>0.54121799999999998</v>
      </c>
      <c r="S32" t="s">
        <v>3</v>
      </c>
      <c r="T32">
        <v>6428.8588</v>
      </c>
      <c r="U32">
        <v>3085.5729999999999</v>
      </c>
      <c r="V32">
        <v>1598.943</v>
      </c>
      <c r="W32">
        <v>959.42240000000004</v>
      </c>
      <c r="X32">
        <v>691.05619999999999</v>
      </c>
      <c r="Y32">
        <v>541.21799999999996</v>
      </c>
    </row>
    <row r="33" spans="2:25" x14ac:dyDescent="0.35">
      <c r="B33" t="s">
        <v>4</v>
      </c>
      <c r="C33">
        <f t="shared" si="18"/>
        <v>4.9000000000000002E-2</v>
      </c>
      <c r="D33">
        <f t="shared" si="19"/>
        <v>2.8000000000000001E-2</v>
      </c>
      <c r="E33">
        <f t="shared" si="20"/>
        <v>1.4E-2</v>
      </c>
      <c r="F33">
        <f t="shared" si="21"/>
        <v>8.9999999999999993E-3</v>
      </c>
      <c r="G33">
        <f t="shared" si="22"/>
        <v>6.0000000000000001E-3</v>
      </c>
      <c r="H33">
        <f t="shared" si="23"/>
        <v>4.0000000000000001E-3</v>
      </c>
      <c r="S33" t="s">
        <v>4</v>
      </c>
      <c r="T33">
        <v>49</v>
      </c>
      <c r="U33">
        <v>28</v>
      </c>
      <c r="V33">
        <v>14</v>
      </c>
      <c r="W33">
        <v>9</v>
      </c>
      <c r="X33">
        <v>6</v>
      </c>
      <c r="Y33">
        <v>4</v>
      </c>
    </row>
    <row r="34" spans="2:25" x14ac:dyDescent="0.35">
      <c r="B34" t="s">
        <v>5</v>
      </c>
      <c r="C34">
        <f t="shared" si="18"/>
        <v>56.603999999999999</v>
      </c>
      <c r="D34">
        <f t="shared" si="19"/>
        <v>27.928999999999998</v>
      </c>
      <c r="E34">
        <f t="shared" si="20"/>
        <v>11.209</v>
      </c>
      <c r="F34">
        <f t="shared" si="21"/>
        <v>5.52</v>
      </c>
      <c r="G34">
        <f t="shared" si="22"/>
        <v>2.843</v>
      </c>
      <c r="H34">
        <f t="shared" si="23"/>
        <v>2.0939999999999999</v>
      </c>
      <c r="S34" t="s">
        <v>5</v>
      </c>
      <c r="T34">
        <v>56604</v>
      </c>
      <c r="U34">
        <v>27929</v>
      </c>
      <c r="V34">
        <v>11209</v>
      </c>
      <c r="W34">
        <v>5520</v>
      </c>
      <c r="X34">
        <v>2843</v>
      </c>
      <c r="Y34">
        <v>2094</v>
      </c>
    </row>
    <row r="35" spans="2:25" x14ac:dyDescent="0.35">
      <c r="B35" t="s">
        <v>6</v>
      </c>
      <c r="C35">
        <f t="shared" si="18"/>
        <v>8.5476477879160601E-2</v>
      </c>
      <c r="D35">
        <f t="shared" si="19"/>
        <v>3.9473459801491202E-2</v>
      </c>
      <c r="E35">
        <f t="shared" si="20"/>
        <v>1.87456937134041E-2</v>
      </c>
      <c r="F35">
        <f t="shared" si="21"/>
        <v>9.5937573844556995E-3</v>
      </c>
      <c r="G35">
        <f t="shared" si="22"/>
        <v>5.9526928560744499E-3</v>
      </c>
      <c r="H35">
        <f t="shared" si="23"/>
        <v>4.4381836453682303E-3</v>
      </c>
      <c r="S35" t="s">
        <v>6</v>
      </c>
      <c r="T35">
        <v>85.476477879160598</v>
      </c>
      <c r="U35">
        <v>39.473459801491202</v>
      </c>
      <c r="V35">
        <v>18.745693713404101</v>
      </c>
      <c r="W35">
        <v>9.5937573844556994</v>
      </c>
      <c r="X35">
        <v>5.9526928560744503</v>
      </c>
      <c r="Y35">
        <v>4.4381836453682304</v>
      </c>
    </row>
    <row r="36" spans="2:25" x14ac:dyDescent="0.35">
      <c r="B36" t="s">
        <v>7</v>
      </c>
      <c r="C36">
        <f t="shared" si="18"/>
        <v>-8.5476477879160601E-2</v>
      </c>
      <c r="D36">
        <f t="shared" si="19"/>
        <v>-3.9473459801491202E-2</v>
      </c>
      <c r="E36">
        <f t="shared" si="20"/>
        <v>-1.87456937134041E-2</v>
      </c>
      <c r="F36">
        <f t="shared" si="21"/>
        <v>-9.5937573844556995E-3</v>
      </c>
      <c r="G36">
        <f t="shared" si="22"/>
        <v>-5.9526928560744499E-3</v>
      </c>
      <c r="H36">
        <f t="shared" si="23"/>
        <v>-4.4381836453682303E-3</v>
      </c>
      <c r="S36" t="s">
        <v>7</v>
      </c>
      <c r="T36">
        <v>-85.476477879160598</v>
      </c>
      <c r="U36">
        <v>-39.473459801491202</v>
      </c>
      <c r="V36">
        <v>-18.745693713404101</v>
      </c>
      <c r="W36">
        <v>-9.5937573844556994</v>
      </c>
      <c r="X36">
        <v>-5.9526928560744503</v>
      </c>
      <c r="Y36">
        <v>-4.4381836453682304</v>
      </c>
    </row>
    <row r="37" spans="2:25" x14ac:dyDescent="0.35">
      <c r="B37" t="s">
        <v>9</v>
      </c>
      <c r="C37">
        <f t="shared" si="18"/>
        <v>5.0592268000000002</v>
      </c>
      <c r="D37">
        <f t="shared" si="19"/>
        <v>2.3608435999999999</v>
      </c>
      <c r="E37">
        <f t="shared" si="20"/>
        <v>1.3134386</v>
      </c>
      <c r="F37">
        <f t="shared" si="21"/>
        <v>0.85799199999999998</v>
      </c>
      <c r="G37">
        <f t="shared" si="22"/>
        <v>0.67286500000000005</v>
      </c>
      <c r="H37">
        <f t="shared" si="23"/>
        <v>0.5795034</v>
      </c>
      <c r="S37" t="s">
        <v>9</v>
      </c>
      <c r="T37">
        <v>5059.2268000000004</v>
      </c>
      <c r="U37">
        <v>2360.8436000000002</v>
      </c>
      <c r="V37">
        <v>1313.4386</v>
      </c>
      <c r="W37">
        <v>857.99199999999996</v>
      </c>
      <c r="X37">
        <v>672.86500000000001</v>
      </c>
      <c r="Y37">
        <v>579.50340000000006</v>
      </c>
    </row>
    <row r="38" spans="2:25" x14ac:dyDescent="0.35">
      <c r="B38" t="s">
        <v>10</v>
      </c>
      <c r="C38">
        <f t="shared" si="18"/>
        <v>4.4999999999999998E-2</v>
      </c>
      <c r="D38">
        <f t="shared" si="19"/>
        <v>1.7999999999999999E-2</v>
      </c>
      <c r="E38">
        <f t="shared" si="20"/>
        <v>8.9999999999999993E-3</v>
      </c>
      <c r="F38">
        <f t="shared" si="21"/>
        <v>5.0000000000000001E-3</v>
      </c>
      <c r="G38">
        <f t="shared" si="22"/>
        <v>3.0000000000000001E-3</v>
      </c>
      <c r="H38">
        <f t="shared" si="23"/>
        <v>1E-3</v>
      </c>
      <c r="S38" t="s">
        <v>10</v>
      </c>
      <c r="T38">
        <v>45</v>
      </c>
      <c r="U38">
        <v>18</v>
      </c>
      <c r="V38">
        <v>9</v>
      </c>
      <c r="W38">
        <v>5</v>
      </c>
      <c r="X38">
        <v>3</v>
      </c>
      <c r="Y38">
        <v>1</v>
      </c>
    </row>
    <row r="39" spans="2:25" x14ac:dyDescent="0.35">
      <c r="B39" t="s">
        <v>11</v>
      </c>
      <c r="C39">
        <f t="shared" si="18"/>
        <v>48.417000000000002</v>
      </c>
      <c r="D39">
        <f t="shared" si="19"/>
        <v>20.791</v>
      </c>
      <c r="E39">
        <f t="shared" si="20"/>
        <v>8.1080000000000005</v>
      </c>
      <c r="F39">
        <f t="shared" si="21"/>
        <v>4.7370000000000001</v>
      </c>
      <c r="G39">
        <f t="shared" si="22"/>
        <v>2.6120000000000001</v>
      </c>
      <c r="H39">
        <f t="shared" si="23"/>
        <v>1.17</v>
      </c>
      <c r="S39" t="s">
        <v>11</v>
      </c>
      <c r="T39">
        <v>48417</v>
      </c>
      <c r="U39">
        <v>20791</v>
      </c>
      <c r="V39">
        <v>8108</v>
      </c>
      <c r="W39">
        <v>4737</v>
      </c>
      <c r="X39">
        <v>2612</v>
      </c>
      <c r="Y39">
        <v>1170</v>
      </c>
    </row>
    <row r="40" spans="2:25" x14ac:dyDescent="0.35">
      <c r="B40" t="s">
        <v>12</v>
      </c>
      <c r="C40">
        <f t="shared" si="18"/>
        <v>7.0045293458015301E-2</v>
      </c>
      <c r="D40">
        <f t="shared" si="19"/>
        <v>2.9490914314636497E-2</v>
      </c>
      <c r="E40">
        <f t="shared" si="20"/>
        <v>1.3376946040972299E-2</v>
      </c>
      <c r="F40">
        <f t="shared" si="21"/>
        <v>7.5312715684330202E-3</v>
      </c>
      <c r="G40">
        <f t="shared" si="22"/>
        <v>5.4700079444533201E-3</v>
      </c>
      <c r="H40">
        <f t="shared" si="23"/>
        <v>4.6812253921299698E-3</v>
      </c>
      <c r="S40" t="s">
        <v>12</v>
      </c>
      <c r="T40">
        <v>70.045293458015294</v>
      </c>
      <c r="U40">
        <v>29.490914314636498</v>
      </c>
      <c r="V40">
        <v>13.3769460409723</v>
      </c>
      <c r="W40">
        <v>7.53127156843302</v>
      </c>
      <c r="X40">
        <v>5.4700079444533198</v>
      </c>
      <c r="Y40">
        <v>4.6812253921299698</v>
      </c>
    </row>
    <row r="41" spans="2:25" x14ac:dyDescent="0.35">
      <c r="B41" t="s">
        <v>13</v>
      </c>
      <c r="C41">
        <f t="shared" si="18"/>
        <v>-7.0045293458015301E-2</v>
      </c>
      <c r="D41">
        <f t="shared" si="19"/>
        <v>-2.9490914314636497E-2</v>
      </c>
      <c r="E41">
        <f t="shared" si="20"/>
        <v>-1.3376946040972299E-2</v>
      </c>
      <c r="F41">
        <f t="shared" si="21"/>
        <v>-7.5312715684330202E-3</v>
      </c>
      <c r="G41">
        <f t="shared" si="22"/>
        <v>-5.4700079444533201E-3</v>
      </c>
      <c r="H41">
        <f t="shared" si="23"/>
        <v>-4.6812253921299698E-3</v>
      </c>
      <c r="S41" t="s">
        <v>13</v>
      </c>
      <c r="T41">
        <v>-70.045293458015294</v>
      </c>
      <c r="U41">
        <v>-29.490914314636498</v>
      </c>
      <c r="V41">
        <v>-13.3769460409723</v>
      </c>
      <c r="W41">
        <v>-7.53127156843302</v>
      </c>
      <c r="X41">
        <v>-5.4700079444533198</v>
      </c>
      <c r="Y41">
        <v>-4.6812253921299698</v>
      </c>
    </row>
    <row r="43" spans="2:25" x14ac:dyDescent="0.35">
      <c r="B43" t="s">
        <v>30</v>
      </c>
    </row>
    <row r="44" spans="2:25" x14ac:dyDescent="0.35">
      <c r="B44" t="s">
        <v>2</v>
      </c>
      <c r="C44">
        <v>5</v>
      </c>
      <c r="D44">
        <v>10</v>
      </c>
      <c r="E44">
        <v>20</v>
      </c>
      <c r="F44">
        <v>40</v>
      </c>
      <c r="G44">
        <v>80</v>
      </c>
      <c r="H44">
        <v>160</v>
      </c>
      <c r="R44" s="1" t="s">
        <v>17</v>
      </c>
      <c r="S44" t="s">
        <v>18</v>
      </c>
      <c r="T44">
        <v>5</v>
      </c>
      <c r="U44">
        <v>10</v>
      </c>
      <c r="V44">
        <v>20</v>
      </c>
      <c r="W44">
        <v>40</v>
      </c>
      <c r="X44">
        <v>80</v>
      </c>
      <c r="Y44">
        <v>160</v>
      </c>
    </row>
    <row r="45" spans="2:25" x14ac:dyDescent="0.35">
      <c r="B45" t="s">
        <v>31</v>
      </c>
      <c r="C45">
        <f t="shared" ref="C45:C54" si="24">T45/1000</f>
        <v>32.144294000000002</v>
      </c>
      <c r="D45">
        <f t="shared" ref="D45:D54" si="25">U45/1000</f>
        <v>30.855730000000001</v>
      </c>
      <c r="E45">
        <f t="shared" ref="E45:E54" si="26">V45/1000</f>
        <v>31.978860000000001</v>
      </c>
      <c r="F45">
        <f t="shared" ref="F45:F54" si="27">W45/1000</f>
        <v>38.376896000000002</v>
      </c>
      <c r="G45">
        <f t="shared" ref="G45:G54" si="28">X45/1000</f>
        <v>55.284495999999997</v>
      </c>
      <c r="H45">
        <f t="shared" ref="H45:H54" si="29">Y45/1000</f>
        <v>86.594879999999989</v>
      </c>
      <c r="R45" s="1" t="s">
        <v>20</v>
      </c>
      <c r="T45">
        <f t="shared" ref="T45:T54" si="30">T32*5</f>
        <v>32144.294000000002</v>
      </c>
      <c r="U45">
        <f t="shared" ref="U45:U54" si="31">U32*10</f>
        <v>30855.73</v>
      </c>
      <c r="V45">
        <f t="shared" ref="V45:V54" si="32">V32*20</f>
        <v>31978.86</v>
      </c>
      <c r="W45">
        <f t="shared" ref="W45:W54" si="33">W32*40</f>
        <v>38376.896000000001</v>
      </c>
      <c r="X45">
        <f t="shared" ref="X45:X54" si="34">X32*80</f>
        <v>55284.495999999999</v>
      </c>
      <c r="Y45">
        <f t="shared" ref="Y45:Y54" si="35">Y32*160</f>
        <v>86594.87999999999</v>
      </c>
    </row>
    <row r="46" spans="2:25" x14ac:dyDescent="0.35">
      <c r="B46" t="s">
        <v>4</v>
      </c>
      <c r="C46">
        <f t="shared" si="24"/>
        <v>0.245</v>
      </c>
      <c r="D46">
        <f t="shared" si="25"/>
        <v>0.28000000000000003</v>
      </c>
      <c r="E46">
        <f t="shared" si="26"/>
        <v>0.28000000000000003</v>
      </c>
      <c r="F46">
        <f t="shared" si="27"/>
        <v>0.36</v>
      </c>
      <c r="G46">
        <f t="shared" si="28"/>
        <v>0.48</v>
      </c>
      <c r="H46">
        <f t="shared" si="29"/>
        <v>0.64</v>
      </c>
      <c r="R46" s="1" t="s">
        <v>21</v>
      </c>
      <c r="T46">
        <f t="shared" si="30"/>
        <v>245</v>
      </c>
      <c r="U46">
        <f t="shared" si="31"/>
        <v>280</v>
      </c>
      <c r="V46">
        <f t="shared" si="32"/>
        <v>280</v>
      </c>
      <c r="W46">
        <f t="shared" si="33"/>
        <v>360</v>
      </c>
      <c r="X46">
        <f t="shared" si="34"/>
        <v>480</v>
      </c>
      <c r="Y46">
        <f t="shared" si="35"/>
        <v>640</v>
      </c>
    </row>
    <row r="47" spans="2:25" x14ac:dyDescent="0.35">
      <c r="B47" t="s">
        <v>5</v>
      </c>
      <c r="C47">
        <f t="shared" si="24"/>
        <v>283.02</v>
      </c>
      <c r="D47">
        <f t="shared" si="25"/>
        <v>279.29000000000002</v>
      </c>
      <c r="E47">
        <f t="shared" si="26"/>
        <v>224.18</v>
      </c>
      <c r="F47">
        <f t="shared" si="27"/>
        <v>220.8</v>
      </c>
      <c r="G47">
        <f t="shared" si="28"/>
        <v>227.44</v>
      </c>
      <c r="H47">
        <f t="shared" si="29"/>
        <v>335.04</v>
      </c>
      <c r="R47" s="1" t="s">
        <v>22</v>
      </c>
      <c r="T47">
        <f t="shared" si="30"/>
        <v>283020</v>
      </c>
      <c r="U47">
        <f t="shared" si="31"/>
        <v>279290</v>
      </c>
      <c r="V47">
        <f t="shared" si="32"/>
        <v>224180</v>
      </c>
      <c r="W47">
        <f t="shared" si="33"/>
        <v>220800</v>
      </c>
      <c r="X47">
        <f t="shared" si="34"/>
        <v>227440</v>
      </c>
      <c r="Y47">
        <f t="shared" si="35"/>
        <v>335040</v>
      </c>
    </row>
    <row r="48" spans="2:25" x14ac:dyDescent="0.35">
      <c r="B48" t="s">
        <v>6</v>
      </c>
      <c r="C48">
        <f t="shared" si="24"/>
        <v>0.42738238939580298</v>
      </c>
      <c r="D48">
        <f t="shared" si="25"/>
        <v>0.39473459801491201</v>
      </c>
      <c r="E48">
        <f t="shared" si="26"/>
        <v>0.37491387426808204</v>
      </c>
      <c r="F48">
        <f t="shared" si="27"/>
        <v>0.38375029537822797</v>
      </c>
      <c r="G48">
        <f t="shared" si="28"/>
        <v>0.47621542848595599</v>
      </c>
      <c r="H48">
        <f t="shared" si="29"/>
        <v>0.71010938325891682</v>
      </c>
      <c r="R48" s="1" t="s">
        <v>23</v>
      </c>
      <c r="T48">
        <f t="shared" si="30"/>
        <v>427.38238939580299</v>
      </c>
      <c r="U48">
        <f t="shared" si="31"/>
        <v>394.73459801491202</v>
      </c>
      <c r="V48">
        <f t="shared" si="32"/>
        <v>374.91387426808205</v>
      </c>
      <c r="W48">
        <f t="shared" si="33"/>
        <v>383.75029537822797</v>
      </c>
      <c r="X48">
        <f t="shared" si="34"/>
        <v>476.21542848595601</v>
      </c>
      <c r="Y48">
        <f t="shared" si="35"/>
        <v>710.10938325891686</v>
      </c>
    </row>
    <row r="49" spans="2:25" x14ac:dyDescent="0.35">
      <c r="B49" t="s">
        <v>7</v>
      </c>
      <c r="C49">
        <f t="shared" si="24"/>
        <v>-0.42738238939580298</v>
      </c>
      <c r="D49">
        <f t="shared" si="25"/>
        <v>-0.39473459801491201</v>
      </c>
      <c r="E49">
        <f t="shared" si="26"/>
        <v>-0.37491387426808204</v>
      </c>
      <c r="F49">
        <f t="shared" si="27"/>
        <v>-0.38375029537822797</v>
      </c>
      <c r="G49">
        <f t="shared" si="28"/>
        <v>-0.47621542848595599</v>
      </c>
      <c r="H49">
        <f t="shared" si="29"/>
        <v>-0.71010938325891682</v>
      </c>
      <c r="R49" s="1" t="s">
        <v>24</v>
      </c>
      <c r="T49">
        <f t="shared" si="30"/>
        <v>-427.38238939580299</v>
      </c>
      <c r="U49">
        <f t="shared" si="31"/>
        <v>-394.73459801491202</v>
      </c>
      <c r="V49">
        <f t="shared" si="32"/>
        <v>-374.91387426808205</v>
      </c>
      <c r="W49">
        <f t="shared" si="33"/>
        <v>-383.75029537822797</v>
      </c>
      <c r="X49">
        <f t="shared" si="34"/>
        <v>-476.21542848595601</v>
      </c>
      <c r="Y49">
        <f t="shared" si="35"/>
        <v>-710.10938325891686</v>
      </c>
    </row>
    <row r="50" spans="2:25" x14ac:dyDescent="0.35">
      <c r="B50" t="s">
        <v>32</v>
      </c>
      <c r="C50">
        <f t="shared" si="24"/>
        <v>25.296134000000002</v>
      </c>
      <c r="D50">
        <f t="shared" si="25"/>
        <v>23.608436000000001</v>
      </c>
      <c r="E50">
        <f t="shared" si="26"/>
        <v>26.268771999999998</v>
      </c>
      <c r="F50">
        <f t="shared" si="27"/>
        <v>34.319679999999998</v>
      </c>
      <c r="G50">
        <f t="shared" si="28"/>
        <v>53.8292</v>
      </c>
      <c r="H50">
        <f t="shared" si="29"/>
        <v>92.720544000000004</v>
      </c>
      <c r="R50" s="1" t="s">
        <v>23</v>
      </c>
      <c r="T50">
        <f t="shared" si="30"/>
        <v>25296.134000000002</v>
      </c>
      <c r="U50">
        <f t="shared" si="31"/>
        <v>23608.436000000002</v>
      </c>
      <c r="V50">
        <f t="shared" si="32"/>
        <v>26268.771999999997</v>
      </c>
      <c r="W50">
        <f t="shared" si="33"/>
        <v>34319.68</v>
      </c>
      <c r="X50">
        <f t="shared" si="34"/>
        <v>53829.2</v>
      </c>
      <c r="Y50">
        <f t="shared" si="35"/>
        <v>92720.544000000009</v>
      </c>
    </row>
    <row r="51" spans="2:25" x14ac:dyDescent="0.35">
      <c r="B51" t="s">
        <v>10</v>
      </c>
      <c r="C51">
        <f t="shared" si="24"/>
        <v>0.22500000000000001</v>
      </c>
      <c r="D51">
        <f t="shared" si="25"/>
        <v>0.18</v>
      </c>
      <c r="E51">
        <f t="shared" si="26"/>
        <v>0.18</v>
      </c>
      <c r="F51">
        <f t="shared" si="27"/>
        <v>0.2</v>
      </c>
      <c r="G51">
        <f t="shared" si="28"/>
        <v>0.24</v>
      </c>
      <c r="H51">
        <f t="shared" si="29"/>
        <v>0.16</v>
      </c>
      <c r="R51" s="1" t="s">
        <v>26</v>
      </c>
      <c r="T51">
        <f t="shared" si="30"/>
        <v>225</v>
      </c>
      <c r="U51">
        <f t="shared" si="31"/>
        <v>180</v>
      </c>
      <c r="V51">
        <f t="shared" si="32"/>
        <v>180</v>
      </c>
      <c r="W51">
        <f t="shared" si="33"/>
        <v>200</v>
      </c>
      <c r="X51">
        <f t="shared" si="34"/>
        <v>240</v>
      </c>
      <c r="Y51">
        <f t="shared" si="35"/>
        <v>160</v>
      </c>
    </row>
    <row r="52" spans="2:25" x14ac:dyDescent="0.35">
      <c r="B52" t="s">
        <v>11</v>
      </c>
      <c r="C52">
        <f t="shared" si="24"/>
        <v>242.08500000000001</v>
      </c>
      <c r="D52">
        <f t="shared" si="25"/>
        <v>207.91</v>
      </c>
      <c r="E52">
        <f t="shared" si="26"/>
        <v>162.16</v>
      </c>
      <c r="F52">
        <f t="shared" si="27"/>
        <v>189.48</v>
      </c>
      <c r="G52">
        <f t="shared" si="28"/>
        <v>208.96</v>
      </c>
      <c r="H52">
        <f t="shared" si="29"/>
        <v>187.2</v>
      </c>
      <c r="R52" s="1" t="s">
        <v>20</v>
      </c>
      <c r="T52">
        <f t="shared" si="30"/>
        <v>242085</v>
      </c>
      <c r="U52">
        <f t="shared" si="31"/>
        <v>207910</v>
      </c>
      <c r="V52">
        <f t="shared" si="32"/>
        <v>162160</v>
      </c>
      <c r="W52">
        <f t="shared" si="33"/>
        <v>189480</v>
      </c>
      <c r="X52">
        <f t="shared" si="34"/>
        <v>208960</v>
      </c>
      <c r="Y52">
        <f t="shared" si="35"/>
        <v>187200</v>
      </c>
    </row>
    <row r="53" spans="2:25" x14ac:dyDescent="0.35">
      <c r="B53" t="s">
        <v>12</v>
      </c>
      <c r="C53">
        <f t="shared" si="24"/>
        <v>0.35022646729007645</v>
      </c>
      <c r="D53">
        <f t="shared" si="25"/>
        <v>0.29490914314636496</v>
      </c>
      <c r="E53">
        <f t="shared" si="26"/>
        <v>0.26753892081944597</v>
      </c>
      <c r="F53">
        <f t="shared" si="27"/>
        <v>0.30125086273732082</v>
      </c>
      <c r="G53">
        <f t="shared" si="28"/>
        <v>0.4376006355562656</v>
      </c>
      <c r="H53">
        <f t="shared" si="29"/>
        <v>0.74899606274079522</v>
      </c>
      <c r="R53" s="1" t="s">
        <v>27</v>
      </c>
      <c r="T53">
        <f t="shared" si="30"/>
        <v>350.22646729007647</v>
      </c>
      <c r="U53">
        <f t="shared" si="31"/>
        <v>294.90914314636495</v>
      </c>
      <c r="V53">
        <f t="shared" si="32"/>
        <v>267.53892081944599</v>
      </c>
      <c r="W53">
        <f t="shared" si="33"/>
        <v>301.2508627373208</v>
      </c>
      <c r="X53">
        <f t="shared" si="34"/>
        <v>437.60063555626562</v>
      </c>
      <c r="Y53">
        <f t="shared" si="35"/>
        <v>748.9960627407952</v>
      </c>
    </row>
    <row r="54" spans="2:25" x14ac:dyDescent="0.35">
      <c r="B54" t="s">
        <v>13</v>
      </c>
      <c r="C54">
        <f t="shared" si="24"/>
        <v>-0.35022646729007645</v>
      </c>
      <c r="D54">
        <f t="shared" si="25"/>
        <v>-0.29490914314636496</v>
      </c>
      <c r="E54">
        <f t="shared" si="26"/>
        <v>-0.26753892081944597</v>
      </c>
      <c r="F54">
        <f t="shared" si="27"/>
        <v>-0.30125086273732082</v>
      </c>
      <c r="G54">
        <f t="shared" si="28"/>
        <v>-0.4376006355562656</v>
      </c>
      <c r="H54">
        <f t="shared" si="29"/>
        <v>-0.74899606274079522</v>
      </c>
      <c r="R54" s="1" t="s">
        <v>22</v>
      </c>
      <c r="T54">
        <f t="shared" si="30"/>
        <v>-350.22646729007647</v>
      </c>
      <c r="U54">
        <f t="shared" si="31"/>
        <v>-294.90914314636495</v>
      </c>
      <c r="V54">
        <f t="shared" si="32"/>
        <v>-267.53892081944599</v>
      </c>
      <c r="W54">
        <f t="shared" si="33"/>
        <v>-301.2508627373208</v>
      </c>
      <c r="X54">
        <f t="shared" si="34"/>
        <v>-437.60063555626562</v>
      </c>
      <c r="Y54">
        <f t="shared" si="35"/>
        <v>-748.9960627407952</v>
      </c>
    </row>
    <row r="55" spans="2:25" x14ac:dyDescent="0.35">
      <c r="R55" s="1" t="s">
        <v>28</v>
      </c>
    </row>
    <row r="57" spans="2:25" x14ac:dyDescent="0.35">
      <c r="B57" t="s">
        <v>33</v>
      </c>
      <c r="S57" t="s">
        <v>1</v>
      </c>
      <c r="T57">
        <v>0.8</v>
      </c>
      <c r="U57">
        <v>0.8</v>
      </c>
      <c r="V57">
        <v>0.8</v>
      </c>
      <c r="W57">
        <v>0.8</v>
      </c>
      <c r="X57">
        <v>0.8</v>
      </c>
      <c r="Y57">
        <v>0.8</v>
      </c>
    </row>
    <row r="58" spans="2:25" x14ac:dyDescent="0.35">
      <c r="B58" t="s">
        <v>2</v>
      </c>
      <c r="C58">
        <v>5</v>
      </c>
      <c r="D58">
        <v>10</v>
      </c>
      <c r="E58">
        <v>20</v>
      </c>
      <c r="F58">
        <v>40</v>
      </c>
      <c r="G58">
        <v>80</v>
      </c>
      <c r="H58">
        <v>160</v>
      </c>
      <c r="S58" t="s">
        <v>2</v>
      </c>
      <c r="T58">
        <v>5</v>
      </c>
      <c r="U58">
        <v>10</v>
      </c>
      <c r="V58">
        <v>20</v>
      </c>
      <c r="W58">
        <v>40</v>
      </c>
      <c r="X58">
        <v>80</v>
      </c>
      <c r="Y58">
        <v>160</v>
      </c>
    </row>
    <row r="59" spans="2:25" x14ac:dyDescent="0.35">
      <c r="B59" t="s">
        <v>3</v>
      </c>
      <c r="C59">
        <f t="shared" ref="C59:C68" si="36">T59/1000</f>
        <v>3.3627051999999997</v>
      </c>
      <c r="D59">
        <f t="shared" ref="D59:D68" si="37">U59/1000</f>
        <v>1.815528</v>
      </c>
      <c r="E59">
        <f t="shared" ref="E59:E68" si="38">V59/1000</f>
        <v>1.1610804000000001</v>
      </c>
      <c r="F59">
        <f t="shared" ref="F59:F68" si="39">W59/1000</f>
        <v>0.84975620000000007</v>
      </c>
      <c r="G59">
        <f t="shared" ref="G59:G68" si="40">X59/1000</f>
        <v>0.66620199999999996</v>
      </c>
      <c r="H59">
        <f t="shared" ref="H59:H68" si="41">Y59/1000</f>
        <v>0.54193279999999999</v>
      </c>
      <c r="S59" t="s">
        <v>3</v>
      </c>
      <c r="T59">
        <v>3362.7051999999999</v>
      </c>
      <c r="U59">
        <v>1815.528</v>
      </c>
      <c r="V59">
        <v>1161.0804000000001</v>
      </c>
      <c r="W59">
        <v>849.75620000000004</v>
      </c>
      <c r="X59">
        <v>666.202</v>
      </c>
      <c r="Y59">
        <v>541.93280000000004</v>
      </c>
    </row>
    <row r="60" spans="2:25" x14ac:dyDescent="0.35">
      <c r="B60" t="s">
        <v>4</v>
      </c>
      <c r="C60">
        <f t="shared" si="36"/>
        <v>4.1000000000000002E-2</v>
      </c>
      <c r="D60">
        <f t="shared" si="37"/>
        <v>2.1999999999999999E-2</v>
      </c>
      <c r="E60">
        <f t="shared" si="38"/>
        <v>1.4E-2</v>
      </c>
      <c r="F60">
        <f t="shared" si="39"/>
        <v>8.9999999999999993E-3</v>
      </c>
      <c r="G60">
        <f t="shared" si="40"/>
        <v>6.0000000000000001E-3</v>
      </c>
      <c r="H60">
        <f t="shared" si="41"/>
        <v>4.0000000000000001E-3</v>
      </c>
      <c r="S60" t="s">
        <v>4</v>
      </c>
      <c r="T60">
        <v>41</v>
      </c>
      <c r="U60">
        <v>22</v>
      </c>
      <c r="V60">
        <v>14</v>
      </c>
      <c r="W60">
        <v>9</v>
      </c>
      <c r="X60">
        <v>6</v>
      </c>
      <c r="Y60">
        <v>4</v>
      </c>
    </row>
    <row r="61" spans="2:25" x14ac:dyDescent="0.35">
      <c r="B61" t="s">
        <v>5</v>
      </c>
      <c r="C61">
        <f t="shared" si="36"/>
        <v>20.837</v>
      </c>
      <c r="D61">
        <f t="shared" si="37"/>
        <v>10.378</v>
      </c>
      <c r="E61">
        <f t="shared" si="38"/>
        <v>4.5789999999999997</v>
      </c>
      <c r="F61">
        <f t="shared" si="39"/>
        <v>1.881</v>
      </c>
      <c r="G61">
        <f t="shared" si="40"/>
        <v>1.4359999999999999</v>
      </c>
      <c r="H61">
        <f t="shared" si="41"/>
        <v>1.115</v>
      </c>
      <c r="S61" t="s">
        <v>5</v>
      </c>
      <c r="T61">
        <v>20837</v>
      </c>
      <c r="U61">
        <v>10378</v>
      </c>
      <c r="V61">
        <v>4579</v>
      </c>
      <c r="W61">
        <v>1881</v>
      </c>
      <c r="X61">
        <v>1436</v>
      </c>
      <c r="Y61">
        <v>1115</v>
      </c>
    </row>
    <row r="62" spans="2:25" x14ac:dyDescent="0.35">
      <c r="B62" t="s">
        <v>6</v>
      </c>
      <c r="C62">
        <f t="shared" si="36"/>
        <v>3.7224414975559297E-2</v>
      </c>
      <c r="D62">
        <f t="shared" si="37"/>
        <v>1.7513272025027303E-2</v>
      </c>
      <c r="E62">
        <f t="shared" si="38"/>
        <v>9.6885459038761005E-3</v>
      </c>
      <c r="F62">
        <f t="shared" si="39"/>
        <v>6.7851962572914601E-3</v>
      </c>
      <c r="G62">
        <f t="shared" si="40"/>
        <v>5.4462634269986706E-3</v>
      </c>
      <c r="H62">
        <f t="shared" si="41"/>
        <v>4.4127859536585903E-3</v>
      </c>
      <c r="S62" t="s">
        <v>6</v>
      </c>
      <c r="T62">
        <v>37.224414975559299</v>
      </c>
      <c r="U62">
        <v>17.513272025027302</v>
      </c>
      <c r="V62">
        <v>9.6885459038761006</v>
      </c>
      <c r="W62">
        <v>6.7851962572914601</v>
      </c>
      <c r="X62">
        <v>5.4462634269986703</v>
      </c>
      <c r="Y62">
        <v>4.4127859536585898</v>
      </c>
    </row>
    <row r="63" spans="2:25" x14ac:dyDescent="0.35">
      <c r="B63" t="s">
        <v>7</v>
      </c>
      <c r="C63">
        <f t="shared" si="36"/>
        <v>-3.7224414975559297E-2</v>
      </c>
      <c r="D63">
        <f t="shared" si="37"/>
        <v>-1.7513272025027303E-2</v>
      </c>
      <c r="E63">
        <f t="shared" si="38"/>
        <v>-9.6885459038761005E-3</v>
      </c>
      <c r="F63">
        <f t="shared" si="39"/>
        <v>-6.7851962572914601E-3</v>
      </c>
      <c r="G63">
        <f t="shared" si="40"/>
        <v>-5.4462634269986706E-3</v>
      </c>
      <c r="H63">
        <f t="shared" si="41"/>
        <v>-4.4127859536585903E-3</v>
      </c>
      <c r="S63" t="s">
        <v>7</v>
      </c>
      <c r="T63">
        <v>-37.224414975559299</v>
      </c>
      <c r="U63">
        <v>-17.513272025027302</v>
      </c>
      <c r="V63">
        <v>-9.6885459038761006</v>
      </c>
      <c r="W63">
        <v>-6.7851962572914601</v>
      </c>
      <c r="X63">
        <v>-5.4462634269986703</v>
      </c>
      <c r="Y63">
        <v>-4.4127859536585898</v>
      </c>
    </row>
    <row r="64" spans="2:25" x14ac:dyDescent="0.35">
      <c r="B64" t="s">
        <v>9</v>
      </c>
      <c r="C64">
        <f t="shared" si="36"/>
        <v>2.7470007999999999</v>
      </c>
      <c r="D64">
        <f t="shared" si="37"/>
        <v>1.521504</v>
      </c>
      <c r="E64">
        <f t="shared" si="38"/>
        <v>1.0528132000000001</v>
      </c>
      <c r="F64">
        <f t="shared" si="39"/>
        <v>0.82019160000000002</v>
      </c>
      <c r="G64">
        <f t="shared" si="40"/>
        <v>0.6605586</v>
      </c>
      <c r="H64">
        <f t="shared" si="41"/>
        <v>0.56257100000000004</v>
      </c>
      <c r="S64" t="s">
        <v>9</v>
      </c>
      <c r="T64">
        <v>2747.0007999999998</v>
      </c>
      <c r="U64">
        <v>1521.5039999999999</v>
      </c>
      <c r="V64">
        <v>1052.8132000000001</v>
      </c>
      <c r="W64">
        <v>820.19159999999999</v>
      </c>
      <c r="X64">
        <v>660.55859999999996</v>
      </c>
      <c r="Y64">
        <v>562.57100000000003</v>
      </c>
    </row>
    <row r="65" spans="2:25" x14ac:dyDescent="0.35">
      <c r="B65" t="s">
        <v>10</v>
      </c>
      <c r="C65">
        <f t="shared" si="36"/>
        <v>2.5000000000000001E-2</v>
      </c>
      <c r="D65">
        <f t="shared" si="37"/>
        <v>1.2E-2</v>
      </c>
      <c r="E65">
        <f t="shared" si="38"/>
        <v>6.0000000000000001E-3</v>
      </c>
      <c r="F65">
        <f t="shared" si="39"/>
        <v>3.0000000000000001E-3</v>
      </c>
      <c r="G65">
        <f t="shared" si="40"/>
        <v>2E-3</v>
      </c>
      <c r="H65">
        <f t="shared" si="41"/>
        <v>1E-3</v>
      </c>
      <c r="S65" t="s">
        <v>10</v>
      </c>
      <c r="T65">
        <v>25</v>
      </c>
      <c r="U65">
        <v>12</v>
      </c>
      <c r="V65">
        <v>6</v>
      </c>
      <c r="W65">
        <v>3</v>
      </c>
      <c r="X65">
        <v>2</v>
      </c>
      <c r="Y65">
        <v>1</v>
      </c>
    </row>
    <row r="66" spans="2:25" x14ac:dyDescent="0.35">
      <c r="B66" t="s">
        <v>11</v>
      </c>
      <c r="C66">
        <f t="shared" si="36"/>
        <v>18.709</v>
      </c>
      <c r="D66">
        <f t="shared" si="37"/>
        <v>10.244999999999999</v>
      </c>
      <c r="E66">
        <f t="shared" si="38"/>
        <v>3.9780000000000002</v>
      </c>
      <c r="F66">
        <f t="shared" si="39"/>
        <v>1.792</v>
      </c>
      <c r="G66">
        <f t="shared" si="40"/>
        <v>1.417</v>
      </c>
      <c r="H66">
        <f t="shared" si="41"/>
        <v>1.155</v>
      </c>
      <c r="S66" t="s">
        <v>11</v>
      </c>
      <c r="T66">
        <v>18709</v>
      </c>
      <c r="U66">
        <v>10245</v>
      </c>
      <c r="V66">
        <v>3978</v>
      </c>
      <c r="W66">
        <v>1792</v>
      </c>
      <c r="X66">
        <v>1417</v>
      </c>
      <c r="Y66">
        <v>1155</v>
      </c>
    </row>
    <row r="67" spans="2:25" x14ac:dyDescent="0.35">
      <c r="B67" t="s">
        <v>12</v>
      </c>
      <c r="C67">
        <f t="shared" si="36"/>
        <v>3.2058669660170701E-2</v>
      </c>
      <c r="D67">
        <f t="shared" si="37"/>
        <v>1.4560318112235899E-2</v>
      </c>
      <c r="E67">
        <f t="shared" si="38"/>
        <v>8.6446507192808903E-3</v>
      </c>
      <c r="F67">
        <f t="shared" si="39"/>
        <v>6.6088097333110007E-3</v>
      </c>
      <c r="G67">
        <f t="shared" si="40"/>
        <v>5.3601265716940799E-3</v>
      </c>
      <c r="H67">
        <f t="shared" si="41"/>
        <v>4.6165636575055194E-3</v>
      </c>
      <c r="S67" t="s">
        <v>12</v>
      </c>
      <c r="T67">
        <v>32.0586696601707</v>
      </c>
      <c r="U67">
        <v>14.560318112235899</v>
      </c>
      <c r="V67">
        <v>8.6446507192808895</v>
      </c>
      <c r="W67">
        <v>6.6088097333110003</v>
      </c>
      <c r="X67">
        <v>5.3601265716940798</v>
      </c>
      <c r="Y67">
        <v>4.6165636575055196</v>
      </c>
    </row>
    <row r="68" spans="2:25" x14ac:dyDescent="0.35">
      <c r="B68" t="s">
        <v>13</v>
      </c>
      <c r="C68">
        <f t="shared" si="36"/>
        <v>-3.2058669660170701E-2</v>
      </c>
      <c r="D68">
        <f t="shared" si="37"/>
        <v>-1.4560318112235899E-2</v>
      </c>
      <c r="E68">
        <f t="shared" si="38"/>
        <v>-8.6446507192808903E-3</v>
      </c>
      <c r="F68">
        <f t="shared" si="39"/>
        <v>-6.6088097333110007E-3</v>
      </c>
      <c r="G68">
        <f t="shared" si="40"/>
        <v>-5.3601265716940799E-3</v>
      </c>
      <c r="H68">
        <f t="shared" si="41"/>
        <v>-4.6165636575055194E-3</v>
      </c>
      <c r="S68" t="s">
        <v>13</v>
      </c>
      <c r="T68">
        <v>-32.0586696601707</v>
      </c>
      <c r="U68">
        <v>-14.560318112235899</v>
      </c>
      <c r="V68">
        <v>-8.6446507192808895</v>
      </c>
      <c r="W68">
        <v>-6.6088097333110003</v>
      </c>
      <c r="X68">
        <v>-5.3601265716940798</v>
      </c>
      <c r="Y68">
        <v>-4.6165636575055196</v>
      </c>
    </row>
    <row r="70" spans="2:25" x14ac:dyDescent="0.35">
      <c r="B70" t="s">
        <v>34</v>
      </c>
    </row>
    <row r="71" spans="2:25" x14ac:dyDescent="0.35">
      <c r="B71" t="s">
        <v>2</v>
      </c>
      <c r="C71">
        <v>5</v>
      </c>
      <c r="D71">
        <v>10</v>
      </c>
      <c r="E71">
        <v>20</v>
      </c>
      <c r="F71">
        <v>40</v>
      </c>
      <c r="G71">
        <v>80</v>
      </c>
      <c r="H71">
        <v>160</v>
      </c>
      <c r="R71" s="1" t="s">
        <v>17</v>
      </c>
      <c r="S71" t="s">
        <v>18</v>
      </c>
      <c r="T71">
        <v>5</v>
      </c>
      <c r="U71">
        <v>10</v>
      </c>
      <c r="V71">
        <v>20</v>
      </c>
      <c r="W71">
        <v>40</v>
      </c>
      <c r="X71">
        <v>80</v>
      </c>
      <c r="Y71">
        <v>160</v>
      </c>
    </row>
    <row r="72" spans="2:25" x14ac:dyDescent="0.35">
      <c r="B72" t="s">
        <v>35</v>
      </c>
      <c r="C72">
        <f t="shared" ref="C72:C81" si="42">T72/1000</f>
        <v>16.813526</v>
      </c>
      <c r="D72">
        <f t="shared" ref="D72:D81" si="43">U72/1000</f>
        <v>18.155279999999998</v>
      </c>
      <c r="E72">
        <f t="shared" ref="E72:E81" si="44">V72/1000</f>
        <v>23.221608</v>
      </c>
      <c r="F72">
        <f t="shared" ref="F72:F81" si="45">W72/1000</f>
        <v>33.990248000000001</v>
      </c>
      <c r="G72">
        <f t="shared" ref="G72:G81" si="46">X72/1000</f>
        <v>53.29616</v>
      </c>
      <c r="H72">
        <f t="shared" ref="H72:H81" si="47">Y72/1000</f>
        <v>86.709248000000002</v>
      </c>
      <c r="R72" s="1" t="s">
        <v>20</v>
      </c>
      <c r="T72">
        <f t="shared" ref="T72:T81" si="48">T59*5</f>
        <v>16813.525999999998</v>
      </c>
      <c r="U72">
        <f t="shared" ref="U72:U81" si="49">U59*10</f>
        <v>18155.28</v>
      </c>
      <c r="V72">
        <f t="shared" ref="V72:V81" si="50">V59*20</f>
        <v>23221.608</v>
      </c>
      <c r="W72">
        <f t="shared" ref="W72:W81" si="51">W59*40</f>
        <v>33990.248</v>
      </c>
      <c r="X72">
        <f t="shared" ref="X72:X81" si="52">X59*80</f>
        <v>53296.160000000003</v>
      </c>
      <c r="Y72">
        <f t="shared" ref="Y72:Y81" si="53">Y59*160</f>
        <v>86709.248000000007</v>
      </c>
    </row>
    <row r="73" spans="2:25" x14ac:dyDescent="0.35">
      <c r="B73" t="s">
        <v>4</v>
      </c>
      <c r="C73">
        <f t="shared" si="42"/>
        <v>0.20499999999999999</v>
      </c>
      <c r="D73">
        <f t="shared" si="43"/>
        <v>0.22</v>
      </c>
      <c r="E73">
        <f t="shared" si="44"/>
        <v>0.28000000000000003</v>
      </c>
      <c r="F73">
        <f t="shared" si="45"/>
        <v>0.36</v>
      </c>
      <c r="G73">
        <f t="shared" si="46"/>
        <v>0.48</v>
      </c>
      <c r="H73">
        <f t="shared" si="47"/>
        <v>0.64</v>
      </c>
      <c r="R73" s="1" t="s">
        <v>21</v>
      </c>
      <c r="T73">
        <f t="shared" si="48"/>
        <v>205</v>
      </c>
      <c r="U73">
        <f t="shared" si="49"/>
        <v>220</v>
      </c>
      <c r="V73">
        <f t="shared" si="50"/>
        <v>280</v>
      </c>
      <c r="W73">
        <f t="shared" si="51"/>
        <v>360</v>
      </c>
      <c r="X73">
        <f t="shared" si="52"/>
        <v>480</v>
      </c>
      <c r="Y73">
        <f t="shared" si="53"/>
        <v>640</v>
      </c>
    </row>
    <row r="74" spans="2:25" x14ac:dyDescent="0.35">
      <c r="B74" t="s">
        <v>5</v>
      </c>
      <c r="C74">
        <f t="shared" si="42"/>
        <v>104.185</v>
      </c>
      <c r="D74">
        <f t="shared" si="43"/>
        <v>103.78</v>
      </c>
      <c r="E74">
        <f t="shared" si="44"/>
        <v>91.58</v>
      </c>
      <c r="F74">
        <f t="shared" si="45"/>
        <v>75.239999999999995</v>
      </c>
      <c r="G74">
        <f t="shared" si="46"/>
        <v>114.88</v>
      </c>
      <c r="H74">
        <f t="shared" si="47"/>
        <v>178.4</v>
      </c>
      <c r="R74" s="1" t="s">
        <v>22</v>
      </c>
      <c r="T74">
        <f t="shared" si="48"/>
        <v>104185</v>
      </c>
      <c r="U74">
        <f t="shared" si="49"/>
        <v>103780</v>
      </c>
      <c r="V74">
        <f t="shared" si="50"/>
        <v>91580</v>
      </c>
      <c r="W74">
        <f t="shared" si="51"/>
        <v>75240</v>
      </c>
      <c r="X74">
        <f t="shared" si="52"/>
        <v>114880</v>
      </c>
      <c r="Y74">
        <f t="shared" si="53"/>
        <v>178400</v>
      </c>
    </row>
    <row r="75" spans="2:25" x14ac:dyDescent="0.35">
      <c r="B75" t="s">
        <v>6</v>
      </c>
      <c r="C75">
        <f t="shared" si="42"/>
        <v>0.18612207487779647</v>
      </c>
      <c r="D75">
        <f t="shared" si="43"/>
        <v>0.17513272025027302</v>
      </c>
      <c r="E75">
        <f t="shared" si="44"/>
        <v>0.19377091807752203</v>
      </c>
      <c r="F75">
        <f t="shared" si="45"/>
        <v>0.27140785029165843</v>
      </c>
      <c r="G75">
        <f t="shared" si="46"/>
        <v>0.43570107415989362</v>
      </c>
      <c r="H75">
        <f t="shared" si="47"/>
        <v>0.70604575258537439</v>
      </c>
      <c r="R75" s="1" t="s">
        <v>23</v>
      </c>
      <c r="T75">
        <f t="shared" si="48"/>
        <v>186.12207487779648</v>
      </c>
      <c r="U75">
        <f t="shared" si="49"/>
        <v>175.13272025027302</v>
      </c>
      <c r="V75">
        <f t="shared" si="50"/>
        <v>193.77091807752203</v>
      </c>
      <c r="W75">
        <f t="shared" si="51"/>
        <v>271.40785029165841</v>
      </c>
      <c r="X75">
        <f t="shared" si="52"/>
        <v>435.70107415989361</v>
      </c>
      <c r="Y75">
        <f t="shared" si="53"/>
        <v>706.04575258537443</v>
      </c>
    </row>
    <row r="76" spans="2:25" x14ac:dyDescent="0.35">
      <c r="B76" t="s">
        <v>7</v>
      </c>
      <c r="C76">
        <f t="shared" si="42"/>
        <v>-0.18612207487779647</v>
      </c>
      <c r="D76">
        <f t="shared" si="43"/>
        <v>-0.17513272025027302</v>
      </c>
      <c r="E76">
        <f t="shared" si="44"/>
        <v>-0.19377091807752203</v>
      </c>
      <c r="F76">
        <f t="shared" si="45"/>
        <v>-0.27140785029165843</v>
      </c>
      <c r="G76">
        <f t="shared" si="46"/>
        <v>-0.43570107415989362</v>
      </c>
      <c r="H76">
        <f t="shared" si="47"/>
        <v>-0.70604575258537439</v>
      </c>
      <c r="R76" s="1" t="s">
        <v>24</v>
      </c>
      <c r="T76">
        <f t="shared" si="48"/>
        <v>-186.12207487779648</v>
      </c>
      <c r="U76">
        <f t="shared" si="49"/>
        <v>-175.13272025027302</v>
      </c>
      <c r="V76">
        <f t="shared" si="50"/>
        <v>-193.77091807752203</v>
      </c>
      <c r="W76">
        <f t="shared" si="51"/>
        <v>-271.40785029165841</v>
      </c>
      <c r="X76">
        <f t="shared" si="52"/>
        <v>-435.70107415989361</v>
      </c>
      <c r="Y76">
        <f t="shared" si="53"/>
        <v>-706.04575258537443</v>
      </c>
    </row>
    <row r="77" spans="2:25" x14ac:dyDescent="0.35">
      <c r="B77" t="s">
        <v>36</v>
      </c>
      <c r="C77">
        <f t="shared" si="42"/>
        <v>13.735003999999998</v>
      </c>
      <c r="D77">
        <f t="shared" si="43"/>
        <v>15.215039999999998</v>
      </c>
      <c r="E77">
        <f t="shared" si="44"/>
        <v>21.056264000000002</v>
      </c>
      <c r="F77">
        <f t="shared" si="45"/>
        <v>32.807663999999995</v>
      </c>
      <c r="G77">
        <f t="shared" si="46"/>
        <v>52.844687999999998</v>
      </c>
      <c r="H77">
        <f t="shared" si="47"/>
        <v>90.011359999999996</v>
      </c>
      <c r="R77" s="1" t="s">
        <v>23</v>
      </c>
      <c r="T77">
        <f t="shared" si="48"/>
        <v>13735.003999999999</v>
      </c>
      <c r="U77">
        <f t="shared" si="49"/>
        <v>15215.039999999999</v>
      </c>
      <c r="V77">
        <f t="shared" si="50"/>
        <v>21056.264000000003</v>
      </c>
      <c r="W77">
        <f t="shared" si="51"/>
        <v>32807.663999999997</v>
      </c>
      <c r="X77">
        <f t="shared" si="52"/>
        <v>52844.687999999995</v>
      </c>
      <c r="Y77">
        <f t="shared" si="53"/>
        <v>90011.36</v>
      </c>
    </row>
    <row r="78" spans="2:25" x14ac:dyDescent="0.35">
      <c r="B78" t="s">
        <v>10</v>
      </c>
      <c r="C78">
        <f t="shared" si="42"/>
        <v>0.125</v>
      </c>
      <c r="D78">
        <f t="shared" si="43"/>
        <v>0.12</v>
      </c>
      <c r="E78">
        <f t="shared" si="44"/>
        <v>0.12</v>
      </c>
      <c r="F78">
        <f t="shared" si="45"/>
        <v>0.12</v>
      </c>
      <c r="G78">
        <f t="shared" si="46"/>
        <v>0.16</v>
      </c>
      <c r="H78">
        <f t="shared" si="47"/>
        <v>0.16</v>
      </c>
      <c r="R78" s="1" t="s">
        <v>26</v>
      </c>
      <c r="T78">
        <f t="shared" si="48"/>
        <v>125</v>
      </c>
      <c r="U78">
        <f t="shared" si="49"/>
        <v>120</v>
      </c>
      <c r="V78">
        <f t="shared" si="50"/>
        <v>120</v>
      </c>
      <c r="W78">
        <f t="shared" si="51"/>
        <v>120</v>
      </c>
      <c r="X78">
        <f t="shared" si="52"/>
        <v>160</v>
      </c>
      <c r="Y78">
        <f t="shared" si="53"/>
        <v>160</v>
      </c>
    </row>
    <row r="79" spans="2:25" x14ac:dyDescent="0.35">
      <c r="B79" t="s">
        <v>11</v>
      </c>
      <c r="C79">
        <f t="shared" si="42"/>
        <v>93.545000000000002</v>
      </c>
      <c r="D79">
        <f t="shared" si="43"/>
        <v>102.45</v>
      </c>
      <c r="E79">
        <f t="shared" si="44"/>
        <v>79.56</v>
      </c>
      <c r="F79">
        <f t="shared" si="45"/>
        <v>71.680000000000007</v>
      </c>
      <c r="G79">
        <f t="shared" si="46"/>
        <v>113.36</v>
      </c>
      <c r="H79">
        <f t="shared" si="47"/>
        <v>184.8</v>
      </c>
      <c r="R79" s="1" t="s">
        <v>20</v>
      </c>
      <c r="T79">
        <f t="shared" si="48"/>
        <v>93545</v>
      </c>
      <c r="U79">
        <f t="shared" si="49"/>
        <v>102450</v>
      </c>
      <c r="V79">
        <f t="shared" si="50"/>
        <v>79560</v>
      </c>
      <c r="W79">
        <f t="shared" si="51"/>
        <v>71680</v>
      </c>
      <c r="X79">
        <f t="shared" si="52"/>
        <v>113360</v>
      </c>
      <c r="Y79">
        <f t="shared" si="53"/>
        <v>184800</v>
      </c>
    </row>
    <row r="80" spans="2:25" x14ac:dyDescent="0.35">
      <c r="B80" t="s">
        <v>12</v>
      </c>
      <c r="C80">
        <f t="shared" si="42"/>
        <v>0.16029334830085348</v>
      </c>
      <c r="D80">
        <f t="shared" si="43"/>
        <v>0.14560318112235898</v>
      </c>
      <c r="E80">
        <f t="shared" si="44"/>
        <v>0.1728930143856178</v>
      </c>
      <c r="F80">
        <f t="shared" si="45"/>
        <v>0.26435238933243999</v>
      </c>
      <c r="G80">
        <f t="shared" si="46"/>
        <v>0.4288101257355264</v>
      </c>
      <c r="H80">
        <f t="shared" si="47"/>
        <v>0.7386501852008831</v>
      </c>
      <c r="R80" s="1" t="s">
        <v>27</v>
      </c>
      <c r="T80">
        <f t="shared" si="48"/>
        <v>160.29334830085349</v>
      </c>
      <c r="U80">
        <f t="shared" si="49"/>
        <v>145.60318112235899</v>
      </c>
      <c r="V80">
        <f t="shared" si="50"/>
        <v>172.89301438561779</v>
      </c>
      <c r="W80">
        <f t="shared" si="51"/>
        <v>264.35238933244</v>
      </c>
      <c r="X80">
        <f t="shared" si="52"/>
        <v>428.81012573552641</v>
      </c>
      <c r="Y80">
        <f t="shared" si="53"/>
        <v>738.65018520088313</v>
      </c>
    </row>
    <row r="81" spans="2:25" x14ac:dyDescent="0.35">
      <c r="B81" t="s">
        <v>13</v>
      </c>
      <c r="C81">
        <f t="shared" si="42"/>
        <v>-0.16029334830085348</v>
      </c>
      <c r="D81">
        <f t="shared" si="43"/>
        <v>-0.14560318112235898</v>
      </c>
      <c r="E81">
        <f t="shared" si="44"/>
        <v>-0.1728930143856178</v>
      </c>
      <c r="F81">
        <f t="shared" si="45"/>
        <v>-0.26435238933243999</v>
      </c>
      <c r="G81">
        <f t="shared" si="46"/>
        <v>-0.4288101257355264</v>
      </c>
      <c r="H81">
        <f t="shared" si="47"/>
        <v>-0.7386501852008831</v>
      </c>
      <c r="R81" s="1" t="s">
        <v>22</v>
      </c>
      <c r="T81">
        <f t="shared" si="48"/>
        <v>-160.29334830085349</v>
      </c>
      <c r="U81">
        <f t="shared" si="49"/>
        <v>-145.60318112235899</v>
      </c>
      <c r="V81">
        <f t="shared" si="50"/>
        <v>-172.89301438561779</v>
      </c>
      <c r="W81">
        <f t="shared" si="51"/>
        <v>-264.35238933244</v>
      </c>
      <c r="X81">
        <f t="shared" si="52"/>
        <v>-428.81012573552641</v>
      </c>
      <c r="Y81">
        <f t="shared" si="53"/>
        <v>-738.65018520088313</v>
      </c>
    </row>
    <row r="82" spans="2:25" x14ac:dyDescent="0.35">
      <c r="R82" s="1" t="s">
        <v>28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Example1_results</vt:lpstr>
      <vt:lpstr>HRV_fig</vt:lpstr>
    </vt:vector>
  </TitlesOfParts>
  <Company>NewYork-Presbyterian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Kelly</dc:creator>
  <dc:description/>
  <cp:lastModifiedBy>Kelly, Robert</cp:lastModifiedBy>
  <cp:revision>3</cp:revision>
  <dcterms:created xsi:type="dcterms:W3CDTF">2022-05-29T21:38:58Z</dcterms:created>
  <dcterms:modified xsi:type="dcterms:W3CDTF">2026-05-09T02:00:38Z</dcterms:modified>
  <dc:language>en-US</dc:language>
</cp:coreProperties>
</file>